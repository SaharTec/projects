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צד כלה" sheetId="1" state="visible" r:id="rId3"/>
    <sheet name="צד חתן" sheetId="2" state="visible" r:id="rId4"/>
    <sheet name="חברים חתן" sheetId="3" state="visible" r:id="rId5"/>
    <sheet name="חברים כלה" sheetId="4" state="visible" r:id="rId6"/>
    <sheet name="סיכום" sheetId="5" state="hidden" r:id="rId7"/>
    <sheet name="כסף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<sst xmlns="http://schemas.openxmlformats.org/spreadsheetml/2006/main" count="625" uniqueCount="279">
  <si>
    <t xml:space="preserve">שם מלא</t>
  </si>
  <si>
    <t xml:space="preserve">כמות מוזמנים</t>
  </si>
  <si>
    <t xml:space="preserve">צד</t>
  </si>
  <si>
    <t xml:space="preserve">קירבה</t>
  </si>
  <si>
    <t xml:space="preserve">מאיפה מגיעים</t>
  </si>
  <si>
    <r>
      <rPr>
        <b val="true"/>
        <sz val="11"/>
        <color rgb="FF000000"/>
        <rFont val="FreeSans"/>
        <family val="2"/>
        <charset val="1"/>
      </rPr>
      <t xml:space="preserve">הזמנה</t>
    </r>
    <r>
      <rPr>
        <b val="true"/>
        <sz val="11"/>
        <color rgb="FF000000"/>
        <rFont val="Arial"/>
        <family val="2"/>
        <charset val="1"/>
      </rPr>
      <t xml:space="preserve">(1-</t>
    </r>
    <r>
      <rPr>
        <b val="true"/>
        <sz val="11"/>
        <color rgb="FF000000"/>
        <rFont val="FreeSans"/>
        <family val="2"/>
        <charset val="1"/>
      </rPr>
      <t xml:space="preserve">כן</t>
    </r>
    <r>
      <rPr>
        <b val="true"/>
        <sz val="11"/>
        <color rgb="FF000000"/>
        <rFont val="Arial"/>
        <family val="2"/>
        <charset val="1"/>
      </rPr>
      <t xml:space="preserve">, 0-</t>
    </r>
    <r>
      <rPr>
        <b val="true"/>
        <sz val="11"/>
        <color rgb="FF000000"/>
        <rFont val="FreeSans"/>
        <family val="2"/>
        <charset val="1"/>
      </rPr>
      <t xml:space="preserve">לא</t>
    </r>
    <r>
      <rPr>
        <b val="true"/>
        <sz val="11"/>
        <color rgb="FF000000"/>
        <rFont val="Arial"/>
        <family val="2"/>
        <charset val="1"/>
      </rPr>
      <t xml:space="preserve">)</t>
    </r>
  </si>
  <si>
    <r>
      <rPr>
        <b val="true"/>
        <sz val="11"/>
        <color rgb="FF000000"/>
        <rFont val="FreeSans"/>
        <family val="2"/>
        <charset val="1"/>
      </rPr>
      <t xml:space="preserve">בטוחים</t>
    </r>
    <r>
      <rPr>
        <b val="true"/>
        <sz val="11"/>
        <color rgb="FF000000"/>
        <rFont val="Arial"/>
        <family val="2"/>
        <charset val="1"/>
      </rPr>
      <t xml:space="preserve">-1, </t>
    </r>
    <r>
      <rPr>
        <b val="true"/>
        <sz val="11"/>
        <color rgb="FF000000"/>
        <rFont val="FreeSans"/>
        <family val="2"/>
        <charset val="1"/>
      </rPr>
      <t xml:space="preserve">סימן שאלה </t>
    </r>
    <r>
      <rPr>
        <b val="true"/>
        <sz val="11"/>
        <color rgb="FF000000"/>
        <rFont val="Arial"/>
        <family val="2"/>
        <charset val="1"/>
      </rPr>
      <t xml:space="preserve">- 2, </t>
    </r>
    <r>
      <rPr>
        <b val="true"/>
        <sz val="11"/>
        <color rgb="FF000000"/>
        <rFont val="FreeSans"/>
        <family val="2"/>
        <charset val="1"/>
      </rPr>
      <t xml:space="preserve">מוזמנים אך לא </t>
    </r>
    <r>
      <rPr>
        <b val="true"/>
        <sz val="11"/>
        <color rgb="FF000000"/>
        <rFont val="Arial"/>
        <family val="2"/>
        <charset val="1"/>
      </rPr>
      <t xml:space="preserve">-3</t>
    </r>
  </si>
  <si>
    <r>
      <rPr>
        <b val="true"/>
        <sz val="11"/>
        <color rgb="FF000000"/>
        <rFont val="FreeSans"/>
        <family val="2"/>
        <charset val="1"/>
      </rPr>
      <t xml:space="preserve">חלוקה </t>
    </r>
    <r>
      <rPr>
        <b val="true"/>
        <sz val="11"/>
        <color rgb="FF000000"/>
        <rFont val="Arial"/>
        <family val="2"/>
        <charset val="1"/>
      </rPr>
      <t xml:space="preserve">(1 </t>
    </r>
    <r>
      <rPr>
        <b val="true"/>
        <sz val="11"/>
        <color rgb="FF000000"/>
        <rFont val="FreeSans"/>
        <family val="2"/>
        <charset val="1"/>
      </rPr>
      <t xml:space="preserve">כן</t>
    </r>
    <r>
      <rPr>
        <b val="true"/>
        <sz val="11"/>
        <color rgb="FF000000"/>
        <rFont val="Arial"/>
        <family val="2"/>
        <charset val="1"/>
      </rPr>
      <t xml:space="preserve">)</t>
    </r>
  </si>
  <si>
    <r>
      <rPr>
        <b val="true"/>
        <sz val="11"/>
        <color rgb="FF000000"/>
        <rFont val="FreeSans"/>
        <family val="2"/>
        <charset val="1"/>
      </rPr>
      <t xml:space="preserve">וידוא הגעה</t>
    </r>
    <r>
      <rPr>
        <b val="true"/>
        <sz val="11"/>
        <color rgb="FF000000"/>
        <rFont val="Arial"/>
        <family val="2"/>
        <charset val="1"/>
      </rPr>
      <t xml:space="preserve">(1-</t>
    </r>
    <r>
      <rPr>
        <b val="true"/>
        <sz val="11"/>
        <color rgb="FF000000"/>
        <rFont val="FreeSans"/>
        <family val="2"/>
        <charset val="1"/>
      </rPr>
      <t xml:space="preserve">כן</t>
    </r>
    <r>
      <rPr>
        <b val="true"/>
        <sz val="11"/>
        <color rgb="FF000000"/>
        <rFont val="Arial"/>
        <family val="2"/>
        <charset val="1"/>
      </rPr>
      <t xml:space="preserve">)</t>
    </r>
  </si>
  <si>
    <r>
      <rPr>
        <b val="true"/>
        <sz val="11"/>
        <color rgb="FF000000"/>
        <rFont val="FreeSans"/>
        <family val="2"/>
        <charset val="1"/>
      </rPr>
      <t xml:space="preserve">כמות סימני שאלה</t>
    </r>
    <r>
      <rPr>
        <b val="true"/>
        <sz val="11"/>
        <color rgb="FF000000"/>
        <rFont val="Arial"/>
        <family val="2"/>
        <charset val="1"/>
      </rPr>
      <t xml:space="preserve">(</t>
    </r>
    <r>
      <rPr>
        <b val="true"/>
        <sz val="11"/>
        <color rgb="FF000000"/>
        <rFont val="FreeSans"/>
        <family val="2"/>
        <charset val="1"/>
      </rPr>
      <t xml:space="preserve">לצורך חישוב</t>
    </r>
    <r>
      <rPr>
        <b val="true"/>
        <sz val="11"/>
        <color rgb="FF000000"/>
        <rFont val="Arial"/>
        <family val="2"/>
        <charset val="1"/>
      </rPr>
      <t xml:space="preserve">)</t>
    </r>
  </si>
  <si>
    <r>
      <rPr>
        <b val="true"/>
        <sz val="11"/>
        <color rgb="FF000000"/>
        <rFont val="FreeSans"/>
        <family val="2"/>
        <charset val="1"/>
      </rPr>
      <t xml:space="preserve">לא מגיעים </t>
    </r>
    <r>
      <rPr>
        <b val="true"/>
        <sz val="11"/>
        <color rgb="FF000000"/>
        <rFont val="Arial"/>
        <family val="2"/>
        <charset val="1"/>
      </rPr>
      <t xml:space="preserve">(</t>
    </r>
    <r>
      <rPr>
        <b val="true"/>
        <sz val="11"/>
        <color rgb="FF000000"/>
        <rFont val="FreeSans"/>
        <family val="2"/>
        <charset val="1"/>
      </rPr>
      <t xml:space="preserve">לצורך חישוב</t>
    </r>
    <r>
      <rPr>
        <b val="true"/>
        <sz val="11"/>
        <color rgb="FF000000"/>
        <rFont val="Arial"/>
        <family val="2"/>
        <charset val="1"/>
      </rPr>
      <t xml:space="preserve">)</t>
    </r>
  </si>
  <si>
    <t xml:space="preserve">כמות הגיעו בפועל (אחרי חתונה)</t>
  </si>
  <si>
    <t xml:space="preserve">כסף</t>
  </si>
  <si>
    <t xml:space="preserve">משפחת מגן</t>
  </si>
  <si>
    <t xml:space="preserve">אבא</t>
  </si>
  <si>
    <t xml:space="preserve">משפחה</t>
  </si>
  <si>
    <t xml:space="preserve">בית קמה</t>
  </si>
  <si>
    <t xml:space="preserve">לפני החתונה</t>
  </si>
  <si>
    <t xml:space="preserve">סבתא אורה</t>
  </si>
  <si>
    <t xml:space="preserve">סבא</t>
  </si>
  <si>
    <t xml:space="preserve">באר שבע</t>
  </si>
  <si>
    <r>
      <rPr>
        <sz val="11"/>
        <color theme="1"/>
        <rFont val="Noto Sans Devanagari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Devanagari"/>
        <family val="2"/>
        <charset val="1"/>
      </rPr>
      <t xml:space="preserve">כ מוזמנים</t>
    </r>
  </si>
  <si>
    <t xml:space="preserve">רונית</t>
  </si>
  <si>
    <t xml:space="preserve">אח</t>
  </si>
  <si>
    <t xml:space="preserve">מבשרת ציון</t>
  </si>
  <si>
    <t xml:space="preserve">בטוחים</t>
  </si>
  <si>
    <t xml:space="preserve">שירי</t>
  </si>
  <si>
    <t xml:space="preserve">רמת גן</t>
  </si>
  <si>
    <t xml:space="preserve">סימני שאלה</t>
  </si>
  <si>
    <t xml:space="preserve">שלומי</t>
  </si>
  <si>
    <t xml:space="preserve">איביזה</t>
  </si>
  <si>
    <t xml:space="preserve">כמות הזמנות</t>
  </si>
  <si>
    <t xml:space="preserve">מיכלי </t>
  </si>
  <si>
    <t xml:space="preserve">סבא אריה</t>
  </si>
  <si>
    <t xml:space="preserve">אמא</t>
  </si>
  <si>
    <t xml:space="preserve">רביבים</t>
  </si>
  <si>
    <t xml:space="preserve">נועה</t>
  </si>
  <si>
    <t xml:space="preserve">הוד השרון</t>
  </si>
  <si>
    <t xml:space="preserve">רפי</t>
  </si>
  <si>
    <t xml:space="preserve">ברזיל</t>
  </si>
  <si>
    <t xml:space="preserve">אחרי החתונה</t>
  </si>
  <si>
    <t xml:space="preserve">סבתא אלי</t>
  </si>
  <si>
    <t xml:space="preserve">סבתא</t>
  </si>
  <si>
    <t xml:space="preserve">תל אביב</t>
  </si>
  <si>
    <r>
      <rPr>
        <sz val="11"/>
        <color theme="1"/>
        <rFont val="Noto Sans Devanagari"/>
        <family val="2"/>
        <charset val="1"/>
      </rPr>
      <t xml:space="preserve">סה</t>
    </r>
    <r>
      <rPr>
        <sz val="11"/>
        <color theme="1"/>
        <rFont val="Calibri"/>
        <family val="2"/>
        <charset val="177"/>
      </rPr>
      <t xml:space="preserve">"</t>
    </r>
    <r>
      <rPr>
        <sz val="11"/>
        <color theme="1"/>
        <rFont val="Noto Sans Devanagari"/>
        <family val="2"/>
        <charset val="1"/>
      </rPr>
      <t xml:space="preserve">כ הגיעו</t>
    </r>
  </si>
  <si>
    <t xml:space="preserve">משפחת אתר</t>
  </si>
  <si>
    <t xml:space="preserve">חברים משפחה</t>
  </si>
  <si>
    <r>
      <rPr>
        <sz val="11"/>
        <color theme="1"/>
        <rFont val="Noto Sans Devanagari"/>
        <family val="2"/>
        <charset val="1"/>
      </rPr>
      <t xml:space="preserve">סה</t>
    </r>
    <r>
      <rPr>
        <sz val="11"/>
        <color theme="1"/>
        <rFont val="Calibri"/>
        <family val="2"/>
        <charset val="177"/>
      </rPr>
      <t xml:space="preserve">"</t>
    </r>
    <r>
      <rPr>
        <sz val="11"/>
        <color theme="1"/>
        <rFont val="Noto Sans Devanagari"/>
        <family val="2"/>
        <charset val="1"/>
      </rPr>
      <t xml:space="preserve">כ כסף</t>
    </r>
  </si>
  <si>
    <t xml:space="preserve">משפחת יונאי</t>
  </si>
  <si>
    <t xml:space="preserve">משפחת קמפו</t>
  </si>
  <si>
    <t xml:space="preserve">משפחת מורן גלעד</t>
  </si>
  <si>
    <t xml:space="preserve">משפחת קוצר</t>
  </si>
  <si>
    <t xml:space="preserve">משפחת מאירי</t>
  </si>
  <si>
    <t xml:space="preserve">משפחת רסיוק</t>
  </si>
  <si>
    <t xml:space="preserve">משפחת רלוי</t>
  </si>
  <si>
    <t xml:space="preserve">משפחת סויסה</t>
  </si>
  <si>
    <t xml:space="preserve">יאן פלדמן</t>
  </si>
  <si>
    <t xml:space="preserve">דוד </t>
  </si>
  <si>
    <t xml:space="preserve">רמת ישי</t>
  </si>
  <si>
    <t xml:space="preserve">יואל אבן שושן</t>
  </si>
  <si>
    <t xml:space="preserve">יחיאל כהן</t>
  </si>
  <si>
    <t xml:space="preserve">קדרון</t>
  </si>
  <si>
    <t xml:space="preserve">מירב ברנדט</t>
  </si>
  <si>
    <t xml:space="preserve">ענת גני אור</t>
  </si>
  <si>
    <t xml:space="preserve">חצרים</t>
  </si>
  <si>
    <t xml:space="preserve">דוד בן ישי</t>
  </si>
  <si>
    <t xml:space="preserve">מטע</t>
  </si>
  <si>
    <t xml:space="preserve">נבין</t>
  </si>
  <si>
    <t xml:space="preserve">פרדס חנה</t>
  </si>
  <si>
    <t xml:space="preserve">ארז דקו רץ</t>
  </si>
  <si>
    <t xml:space="preserve">מיכל רום</t>
  </si>
  <si>
    <t xml:space="preserve">שובל</t>
  </si>
  <si>
    <t xml:space="preserve">תום ורותם</t>
  </si>
  <si>
    <t xml:space="preserve">עינת ויורם</t>
  </si>
  <si>
    <t xml:space="preserve">פאני </t>
  </si>
  <si>
    <t xml:space="preserve">זכרון יעקב</t>
  </si>
  <si>
    <t xml:space="preserve">ניבה</t>
  </si>
  <si>
    <t xml:space="preserve">פורטוגל</t>
  </si>
  <si>
    <t xml:space="preserve">דפנה</t>
  </si>
  <si>
    <t xml:space="preserve">עדה</t>
  </si>
  <si>
    <t xml:space="preserve">ניר עוז</t>
  </si>
  <si>
    <t xml:space="preserve">לילך</t>
  </si>
  <si>
    <t xml:space="preserve">צביה</t>
  </si>
  <si>
    <t xml:space="preserve">מירב קפלן</t>
  </si>
  <si>
    <t xml:space="preserve">גבים</t>
  </si>
  <si>
    <t xml:space="preserve">פורוך</t>
  </si>
  <si>
    <t xml:space="preserve">אשדוד</t>
  </si>
  <si>
    <t xml:space="preserve">יוסי שמש</t>
  </si>
  <si>
    <t xml:space="preserve">יאיר שמש</t>
  </si>
  <si>
    <t xml:space="preserve">יורם שמש</t>
  </si>
  <si>
    <t xml:space="preserve">בני שמש</t>
  </si>
  <si>
    <t xml:space="preserve">אריה בק</t>
  </si>
  <si>
    <t xml:space="preserve">מנחם בק</t>
  </si>
  <si>
    <t xml:space="preserve">חברות סבתא</t>
  </si>
  <si>
    <t xml:space="preserve">שמש אחתראם</t>
  </si>
  <si>
    <t xml:space="preserve">גילה יצחקי</t>
  </si>
  <si>
    <t xml:space="preserve">תקווה ואביבה</t>
  </si>
  <si>
    <t xml:space="preserve">ירקוני</t>
  </si>
  <si>
    <t xml:space="preserve">מפלסים</t>
  </si>
  <si>
    <t xml:space="preserve">חברים אחים</t>
  </si>
  <si>
    <t xml:space="preserve">מעורבב</t>
  </si>
  <si>
    <t xml:space="preserve">תפקיד</t>
  </si>
  <si>
    <t xml:space="preserve">דוד מוריס</t>
  </si>
  <si>
    <t xml:space="preserve">ראשון</t>
  </si>
  <si>
    <t xml:space="preserve">דודה נאווה </t>
  </si>
  <si>
    <t xml:space="preserve">דודה מוראל</t>
  </si>
  <si>
    <t xml:space="preserve">מודיעין</t>
  </si>
  <si>
    <t xml:space="preserve">דויד</t>
  </si>
  <si>
    <t xml:space="preserve">אשקלון</t>
  </si>
  <si>
    <t xml:space="preserve">גולי </t>
  </si>
  <si>
    <t xml:space="preserve">רותי</t>
  </si>
  <si>
    <t xml:space="preserve">יוסף</t>
  </si>
  <si>
    <t xml:space="preserve">רחובות</t>
  </si>
  <si>
    <t xml:space="preserve">מלכה</t>
  </si>
  <si>
    <t xml:space="preserve">רמלה</t>
  </si>
  <si>
    <r>
      <rPr>
        <sz val="11"/>
        <color theme="1"/>
        <rFont val="Noto Sans Devanagari"/>
        <family val="2"/>
        <charset val="1"/>
      </rPr>
      <t xml:space="preserve">דניאלה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חנה</t>
    </r>
  </si>
  <si>
    <t xml:space="preserve">ירון</t>
  </si>
  <si>
    <t xml:space="preserve">עופר של מלכה</t>
  </si>
  <si>
    <t xml:space="preserve">הרצליה</t>
  </si>
  <si>
    <t xml:space="preserve">חן של מלכה</t>
  </si>
  <si>
    <t xml:space="preserve">באר יעקב</t>
  </si>
  <si>
    <t xml:space="preserve">זמר של מלכה</t>
  </si>
  <si>
    <t xml:space="preserve">גולן של נחום</t>
  </si>
  <si>
    <t xml:space="preserve">סלע של נחום</t>
  </si>
  <si>
    <t xml:space="preserve">לי של נחום</t>
  </si>
  <si>
    <t xml:space="preserve">ילדים של דוד</t>
  </si>
  <si>
    <t xml:space="preserve">סמדר של יעקב</t>
  </si>
  <si>
    <t xml:space="preserve">NULL</t>
  </si>
  <si>
    <t xml:space="preserve">עדנה </t>
  </si>
  <si>
    <t xml:space="preserve">גדרה</t>
  </si>
  <si>
    <t xml:space="preserve">קרן</t>
  </si>
  <si>
    <t xml:space="preserve">עוז</t>
  </si>
  <si>
    <r>
      <rPr>
        <sz val="11"/>
        <color theme="1"/>
        <rFont val="Noto Sans Devanagari"/>
        <family val="2"/>
        <charset val="1"/>
      </rPr>
      <t xml:space="preserve">זהבה ודיקו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נוי ובעלה</t>
    </r>
  </si>
  <si>
    <r>
      <rPr>
        <sz val="11"/>
        <color theme="1"/>
        <rFont val="Noto Sans Devanagari"/>
        <family val="2"/>
        <charset val="1"/>
      </rPr>
      <t xml:space="preserve">גינתון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רחובות</t>
    </r>
  </si>
  <si>
    <r>
      <rPr>
        <sz val="11"/>
        <color theme="1"/>
        <rFont val="Noto Sans Devanagari"/>
        <family val="2"/>
        <charset val="1"/>
      </rPr>
      <t xml:space="preserve">סימה אורגד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עידן </t>
    </r>
  </si>
  <si>
    <t xml:space="preserve">חולון</t>
  </si>
  <si>
    <t xml:space="preserve">חיפה</t>
  </si>
  <si>
    <t xml:space="preserve">תמי שלאסתר</t>
  </si>
  <si>
    <t xml:space="preserve">אמיר </t>
  </si>
  <si>
    <t xml:space="preserve">הדר</t>
  </si>
  <si>
    <t xml:space="preserve">רמי פקירו</t>
  </si>
  <si>
    <t xml:space="preserve">ירושליים</t>
  </si>
  <si>
    <t xml:space="preserve">נורית של טובה</t>
  </si>
  <si>
    <t xml:space="preserve">כפר יונה</t>
  </si>
  <si>
    <t xml:space="preserve">ציפורה </t>
  </si>
  <si>
    <t xml:space="preserve">עדית של יעקב</t>
  </si>
  <si>
    <t xml:space="preserve">איילת של יעקב</t>
  </si>
  <si>
    <t xml:space="preserve">רינת של יעקב</t>
  </si>
  <si>
    <t xml:space="preserve">תקוה</t>
  </si>
  <si>
    <t xml:space="preserve">שולי</t>
  </si>
  <si>
    <t xml:space="preserve">נס ציונה</t>
  </si>
  <si>
    <t xml:space="preserve">אסתי </t>
  </si>
  <si>
    <t xml:space="preserve"> טובה</t>
  </si>
  <si>
    <t xml:space="preserve">נתניה</t>
  </si>
  <si>
    <t xml:space="preserve">רחל </t>
  </si>
  <si>
    <t xml:space="preserve">מירב </t>
  </si>
  <si>
    <t xml:space="preserve">עינב</t>
  </si>
  <si>
    <t xml:space="preserve">דוד יוסי פקירו</t>
  </si>
  <si>
    <t xml:space="preserve">אפי פקירו</t>
  </si>
  <si>
    <t xml:space="preserve">זהבה פקירו</t>
  </si>
  <si>
    <t xml:space="preserve">ליבנת פקירו </t>
  </si>
  <si>
    <t xml:space="preserve">רוני </t>
  </si>
  <si>
    <t xml:space="preserve">חברים אופק</t>
  </si>
  <si>
    <t xml:space="preserve">אחים</t>
  </si>
  <si>
    <t xml:space="preserve">חברים</t>
  </si>
  <si>
    <r>
      <rPr>
        <sz val="11"/>
        <color theme="1"/>
        <rFont val="Noto Sans Devanagari"/>
        <family val="2"/>
        <charset val="1"/>
      </rPr>
      <t xml:space="preserve">דייב</t>
    </r>
    <r>
      <rPr>
        <sz val="11"/>
        <color theme="1"/>
        <rFont val="Calibri"/>
        <family val="2"/>
        <charset val="177"/>
      </rPr>
      <t xml:space="preserve">, </t>
    </r>
    <r>
      <rPr>
        <sz val="11"/>
        <color theme="1"/>
        <rFont val="Noto Sans Devanagari"/>
        <family val="2"/>
        <charset val="1"/>
      </rPr>
      <t xml:space="preserve">ליאב</t>
    </r>
    <r>
      <rPr>
        <sz val="11"/>
        <color theme="1"/>
        <rFont val="Calibri"/>
        <family val="2"/>
        <charset val="177"/>
      </rPr>
      <t xml:space="preserve">2,</t>
    </r>
    <r>
      <rPr>
        <sz val="11"/>
        <color theme="1"/>
        <rFont val="Noto Sans Devanagari"/>
        <family val="2"/>
        <charset val="1"/>
      </rPr>
      <t xml:space="preserve">לירן</t>
    </r>
    <r>
      <rPr>
        <sz val="11"/>
        <color theme="1"/>
        <rFont val="Calibri"/>
        <family val="2"/>
        <charset val="177"/>
      </rPr>
      <t xml:space="preserve">2,</t>
    </r>
    <r>
      <rPr>
        <sz val="11"/>
        <color theme="1"/>
        <rFont val="Noto Sans Devanagari"/>
        <family val="2"/>
        <charset val="1"/>
      </rPr>
      <t xml:space="preserve">ליאל</t>
    </r>
    <r>
      <rPr>
        <sz val="11"/>
        <color theme="1"/>
        <rFont val="Calibri"/>
        <family val="2"/>
        <charset val="177"/>
      </rPr>
      <t xml:space="preserve">,</t>
    </r>
    <r>
      <rPr>
        <sz val="11"/>
        <color theme="1"/>
        <rFont val="Noto Sans Devanagari"/>
        <family val="2"/>
        <charset val="1"/>
      </rPr>
      <t xml:space="preserve">תומר</t>
    </r>
  </si>
  <si>
    <t xml:space="preserve">חברות מעיין</t>
  </si>
  <si>
    <t xml:space="preserve">משפחת יחזקאל גרעינית</t>
  </si>
  <si>
    <t xml:space="preserve">סבתא מדלן</t>
  </si>
  <si>
    <t xml:space="preserve">סבא וסבתא גודין</t>
  </si>
  <si>
    <t xml:space="preserve">עבודה אבא</t>
  </si>
  <si>
    <t xml:space="preserve">עבודה</t>
  </si>
  <si>
    <t xml:space="preserve">חברות אמא חתן</t>
  </si>
  <si>
    <t xml:space="preserve">אלכס</t>
  </si>
  <si>
    <t xml:space="preserve">עזרא</t>
  </si>
  <si>
    <r>
      <rPr>
        <sz val="11"/>
        <color theme="1"/>
        <rFont val="Noto Sans Devanagari"/>
        <family val="2"/>
        <charset val="1"/>
      </rPr>
      <t xml:space="preserve">לירון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ליהי</t>
    </r>
  </si>
  <si>
    <r>
      <rPr>
        <sz val="11"/>
        <color theme="1"/>
        <rFont val="Noto Sans Devanagari"/>
        <family val="2"/>
        <charset val="1"/>
      </rPr>
      <t xml:space="preserve">תומר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קורל</t>
    </r>
  </si>
  <si>
    <t xml:space="preserve">יואב בראשי</t>
  </si>
  <si>
    <t xml:space="preserve">אילאי</t>
  </si>
  <si>
    <t xml:space="preserve">פתח תיקווה</t>
  </si>
  <si>
    <t xml:space="preserve">אופיר</t>
  </si>
  <si>
    <t xml:space="preserve">ירוחם</t>
  </si>
  <si>
    <t xml:space="preserve">צחור </t>
  </si>
  <si>
    <t xml:space="preserve">דימונה</t>
  </si>
  <si>
    <t xml:space="preserve">אביאל</t>
  </si>
  <si>
    <t xml:space="preserve">אופקים</t>
  </si>
  <si>
    <t xml:space="preserve">עומר</t>
  </si>
  <si>
    <t xml:space="preserve">אלה</t>
  </si>
  <si>
    <t xml:space="preserve">מעין </t>
  </si>
  <si>
    <t xml:space="preserve">ארהב</t>
  </si>
  <si>
    <r>
      <rPr>
        <sz val="11"/>
        <color theme="1"/>
        <rFont val="Noto Sans Devanagari"/>
        <family val="2"/>
        <charset val="1"/>
      </rPr>
      <t xml:space="preserve">עדי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עומר</t>
    </r>
  </si>
  <si>
    <t xml:space="preserve">בש</t>
  </si>
  <si>
    <r>
      <rPr>
        <sz val="11"/>
        <color theme="1"/>
        <rFont val="Noto Sans Devanagari"/>
        <family val="2"/>
        <charset val="1"/>
      </rPr>
      <t xml:space="preserve">שקד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ליאב</t>
    </r>
  </si>
  <si>
    <r>
      <rPr>
        <sz val="11"/>
        <color theme="1"/>
        <rFont val="Noto Sans Devanagari"/>
        <family val="2"/>
        <charset val="1"/>
      </rPr>
      <t xml:space="preserve">אופיר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עופרי</t>
    </r>
  </si>
  <si>
    <t xml:space="preserve">מיקוש</t>
  </si>
  <si>
    <t xml:space="preserve">הילה וקנין</t>
  </si>
  <si>
    <t xml:space="preserve">יהוד</t>
  </si>
  <si>
    <t xml:space="preserve">מאי צפריר</t>
  </si>
  <si>
    <t xml:space="preserve">ירקונה</t>
  </si>
  <si>
    <t xml:space="preserve">שילת יפת</t>
  </si>
  <si>
    <t xml:space="preserve">שדרות</t>
  </si>
  <si>
    <t xml:space="preserve">גל שוטלנד</t>
  </si>
  <si>
    <t xml:space="preserve">להבים</t>
  </si>
  <si>
    <t xml:space="preserve">שירז לסרי</t>
  </si>
  <si>
    <t xml:space="preserve">גילת</t>
  </si>
  <si>
    <t xml:space="preserve">עדי סידון</t>
  </si>
  <si>
    <r>
      <rPr>
        <sz val="11"/>
        <color theme="1"/>
        <rFont val="Noto Sans Devanagari"/>
        <family val="2"/>
        <charset val="1"/>
      </rPr>
      <t xml:space="preserve">בתאל וקנין </t>
    </r>
    <r>
      <rPr>
        <sz val="11"/>
        <color theme="1"/>
        <rFont val="Calibri"/>
        <family val="2"/>
        <charset val="177"/>
      </rPr>
      <t xml:space="preserve">(</t>
    </r>
    <r>
      <rPr>
        <sz val="11"/>
        <color theme="1"/>
        <rFont val="Noto Sans Devanagari"/>
        <family val="2"/>
        <charset val="1"/>
      </rPr>
      <t xml:space="preserve">טמיר</t>
    </r>
    <r>
      <rPr>
        <sz val="11"/>
        <color theme="1"/>
        <rFont val="Calibri"/>
        <family val="2"/>
        <charset val="177"/>
      </rPr>
      <t xml:space="preserve">)</t>
    </r>
  </si>
  <si>
    <t xml:space="preserve">כנה פלק</t>
  </si>
  <si>
    <t xml:space="preserve">ירושלים</t>
  </si>
  <si>
    <t xml:space="preserve">אלה דורון</t>
  </si>
  <si>
    <t xml:space="preserve">רמת השרון</t>
  </si>
  <si>
    <t xml:space="preserve">עפר כהן</t>
  </si>
  <si>
    <t xml:space="preserve">נווה מבטח</t>
  </si>
  <si>
    <t xml:space="preserve">תום אביטבול</t>
  </si>
  <si>
    <t xml:space="preserve">מיה בן סימון</t>
  </si>
  <si>
    <t xml:space="preserve">קרית עקרון</t>
  </si>
  <si>
    <r>
      <rPr>
        <sz val="11"/>
        <color theme="1"/>
        <rFont val="Noto Sans Devanagari"/>
        <family val="2"/>
        <charset val="1"/>
      </rPr>
      <t xml:space="preserve">ניצן סמואל </t>
    </r>
    <r>
      <rPr>
        <sz val="11"/>
        <color theme="1"/>
        <rFont val="Calibri"/>
        <family val="2"/>
        <charset val="177"/>
      </rPr>
      <t xml:space="preserve">(</t>
    </r>
    <r>
      <rPr>
        <sz val="11"/>
        <color theme="1"/>
        <rFont val="Noto Sans Devanagari"/>
        <family val="2"/>
        <charset val="1"/>
      </rPr>
      <t xml:space="preserve">כהן</t>
    </r>
    <r>
      <rPr>
        <sz val="11"/>
        <color theme="1"/>
        <rFont val="Calibri"/>
        <family val="2"/>
        <charset val="177"/>
      </rPr>
      <t xml:space="preserve">)</t>
    </r>
  </si>
  <si>
    <t xml:space="preserve">-</t>
  </si>
  <si>
    <t xml:space="preserve">נועה רחמני</t>
  </si>
  <si>
    <r>
      <rPr>
        <sz val="11"/>
        <color theme="1"/>
        <rFont val="Noto Sans Devanagari"/>
        <family val="2"/>
        <charset val="1"/>
      </rPr>
      <t xml:space="preserve">חולון</t>
    </r>
    <r>
      <rPr>
        <sz val="11"/>
        <color theme="1"/>
        <rFont val="Calibri"/>
        <family val="2"/>
        <charset val="177"/>
      </rPr>
      <t xml:space="preserve">/</t>
    </r>
    <r>
      <rPr>
        <sz val="11"/>
        <color theme="1"/>
        <rFont val="Noto Sans Devanagari"/>
        <family val="2"/>
        <charset val="1"/>
      </rPr>
      <t xml:space="preserve">באר שבע</t>
    </r>
  </si>
  <si>
    <r>
      <rPr>
        <sz val="11"/>
        <color theme="1"/>
        <rFont val="Noto Sans Devanagari"/>
        <family val="2"/>
        <charset val="1"/>
      </rPr>
      <t xml:space="preserve">טליה בירנברג </t>
    </r>
    <r>
      <rPr>
        <sz val="11"/>
        <color theme="1"/>
        <rFont val="Calibri"/>
        <family val="2"/>
        <charset val="177"/>
      </rPr>
      <t xml:space="preserve">(</t>
    </r>
    <r>
      <rPr>
        <sz val="11"/>
        <color theme="1"/>
        <rFont val="Noto Sans Devanagari"/>
        <family val="2"/>
        <charset val="1"/>
      </rPr>
      <t xml:space="preserve">בן</t>
    </r>
    <r>
      <rPr>
        <sz val="11"/>
        <color theme="1"/>
        <rFont val="Calibri"/>
        <family val="2"/>
        <charset val="177"/>
      </rPr>
      <t xml:space="preserve">-</t>
    </r>
    <r>
      <rPr>
        <sz val="11"/>
        <color theme="1"/>
        <rFont val="Noto Sans Devanagari"/>
        <family val="2"/>
        <charset val="1"/>
      </rPr>
      <t xml:space="preserve">נון</t>
    </r>
    <r>
      <rPr>
        <sz val="11"/>
        <color theme="1"/>
        <rFont val="Calibri"/>
        <family val="2"/>
        <charset val="177"/>
      </rPr>
      <t xml:space="preserve">)</t>
    </r>
  </si>
  <si>
    <t xml:space="preserve">לוד</t>
  </si>
  <si>
    <t xml:space="preserve">נטע ויסמן</t>
  </si>
  <si>
    <t xml:space="preserve">עופרי כהן</t>
  </si>
  <si>
    <t xml:space="preserve">רוני קליין</t>
  </si>
  <si>
    <t xml:space="preserve">רמת רזיאל</t>
  </si>
  <si>
    <t xml:space="preserve">נגה בן עמי</t>
  </si>
  <si>
    <t xml:space="preserve">יעל סיטרין</t>
  </si>
  <si>
    <t xml:space="preserve">מיקה בן שטרית</t>
  </si>
  <si>
    <t xml:space="preserve">משפחת צימבלר</t>
  </si>
  <si>
    <t xml:space="preserve">יקנעם</t>
  </si>
  <si>
    <t xml:space="preserve">מי טל רביץ</t>
  </si>
  <si>
    <t xml:space="preserve">סיכום</t>
  </si>
  <si>
    <t xml:space="preserve">הגיעו בפועל</t>
  </si>
  <si>
    <r>
      <rPr>
        <b val="true"/>
        <sz val="11"/>
        <color theme="1"/>
        <rFont val="Noto Sans Devanagari"/>
        <family val="2"/>
        <charset val="1"/>
      </rPr>
      <t xml:space="preserve">סה</t>
    </r>
    <r>
      <rPr>
        <b val="true"/>
        <sz val="11"/>
        <color theme="1"/>
        <rFont val="Calibri"/>
        <family val="2"/>
        <charset val="1"/>
      </rPr>
      <t xml:space="preserve">"</t>
    </r>
    <r>
      <rPr>
        <b val="true"/>
        <sz val="11"/>
        <color theme="1"/>
        <rFont val="Noto Sans Devanagari"/>
        <family val="2"/>
        <charset val="1"/>
      </rPr>
      <t xml:space="preserve">כ כסף</t>
    </r>
  </si>
  <si>
    <t xml:space="preserve">חברים צליל</t>
  </si>
  <si>
    <t xml:space="preserve">חברים אביב</t>
  </si>
  <si>
    <t xml:space="preserve">צד אביב</t>
  </si>
  <si>
    <t xml:space="preserve">צד צליל</t>
  </si>
  <si>
    <r>
      <rPr>
        <b val="true"/>
        <sz val="11"/>
        <color theme="1"/>
        <rFont val="Noto Sans Devanagari"/>
        <family val="2"/>
        <charset val="1"/>
      </rPr>
      <t xml:space="preserve">סה</t>
    </r>
    <r>
      <rPr>
        <b val="true"/>
        <sz val="11"/>
        <color theme="1"/>
        <rFont val="Calibri"/>
        <family val="2"/>
        <charset val="1"/>
      </rPr>
      <t xml:space="preserve">"</t>
    </r>
    <r>
      <rPr>
        <b val="true"/>
        <sz val="11"/>
        <color theme="1"/>
        <rFont val="Noto Sans Devanagari"/>
        <family val="2"/>
        <charset val="1"/>
      </rPr>
      <t xml:space="preserve">כ</t>
    </r>
  </si>
  <si>
    <t xml:space="preserve">מקדמה</t>
  </si>
  <si>
    <r>
      <rPr>
        <b val="true"/>
        <sz val="11"/>
        <color theme="1"/>
        <rFont val="Noto Sans Devanagari"/>
        <family val="2"/>
        <charset val="1"/>
      </rPr>
      <t xml:space="preserve">סה</t>
    </r>
    <r>
      <rPr>
        <b val="true"/>
        <sz val="11"/>
        <color theme="1"/>
        <rFont val="Calibri"/>
        <family val="2"/>
        <charset val="1"/>
      </rPr>
      <t xml:space="preserve">"</t>
    </r>
    <r>
      <rPr>
        <b val="true"/>
        <sz val="11"/>
        <color theme="1"/>
        <rFont val="Noto Sans Devanagari"/>
        <family val="2"/>
        <charset val="1"/>
      </rPr>
      <t xml:space="preserve">כ מחיר</t>
    </r>
  </si>
  <si>
    <t xml:space="preserve">מחיר</t>
  </si>
  <si>
    <t xml:space="preserve">מקור</t>
  </si>
  <si>
    <t xml:space="preserve">כמות</t>
  </si>
  <si>
    <t xml:space="preserve">הערכה</t>
  </si>
  <si>
    <t xml:space="preserve">סופי אחרי החתונה</t>
  </si>
  <si>
    <t xml:space="preserve">עלות מנה</t>
  </si>
  <si>
    <t xml:space="preserve">הגיעו</t>
  </si>
  <si>
    <t xml:space="preserve">דיגי</t>
  </si>
  <si>
    <t xml:space="preserve">צלם</t>
  </si>
  <si>
    <t xml:space="preserve">ממוצע לאדם</t>
  </si>
  <si>
    <t xml:space="preserve">עלות הגברה</t>
  </si>
  <si>
    <t xml:space="preserve">הערכה כספית</t>
  </si>
  <si>
    <r>
      <rPr>
        <b val="true"/>
        <sz val="11"/>
        <color theme="1"/>
        <rFont val="Noto Sans Devanagari"/>
        <family val="2"/>
        <charset val="1"/>
      </rPr>
      <t xml:space="preserve">הפסד</t>
    </r>
    <r>
      <rPr>
        <b val="true"/>
        <sz val="11"/>
        <color theme="1"/>
        <rFont val="Calibri"/>
        <family val="2"/>
        <charset val="1"/>
      </rPr>
      <t xml:space="preserve">/</t>
    </r>
    <r>
      <rPr>
        <b val="true"/>
        <sz val="11"/>
        <color theme="1"/>
        <rFont val="Noto Sans Devanagari"/>
        <family val="2"/>
        <charset val="1"/>
      </rPr>
      <t xml:space="preserve">רווח</t>
    </r>
  </si>
  <si>
    <t xml:space="preserve">קניית שתיה</t>
  </si>
  <si>
    <r>
      <rPr>
        <sz val="11"/>
        <color theme="1"/>
        <rFont val="Noto Sans Devanagari"/>
        <family val="2"/>
        <charset val="1"/>
      </rPr>
      <t xml:space="preserve">צוהר </t>
    </r>
    <r>
      <rPr>
        <sz val="11"/>
        <color theme="1"/>
        <rFont val="Calibri"/>
        <family val="2"/>
        <charset val="177"/>
      </rPr>
      <t xml:space="preserve">+ </t>
    </r>
    <r>
      <rPr>
        <sz val="11"/>
        <color theme="1"/>
        <rFont val="Noto Sans Devanagari"/>
        <family val="2"/>
        <charset val="1"/>
      </rPr>
      <t xml:space="preserve">נסיעות</t>
    </r>
  </si>
  <si>
    <t xml:space="preserve">הערכה מקבלת כסף ללא סימני שאלה</t>
  </si>
  <si>
    <t xml:space="preserve">עלות עיצוב</t>
  </si>
  <si>
    <r>
      <rPr>
        <sz val="11"/>
        <color theme="1"/>
        <rFont val="Noto Sans Devanagari"/>
        <family val="2"/>
        <charset val="1"/>
      </rPr>
      <t xml:space="preserve">הפסד</t>
    </r>
    <r>
      <rPr>
        <sz val="11"/>
        <color theme="1"/>
        <rFont val="Calibri"/>
        <family val="2"/>
        <charset val="177"/>
      </rPr>
      <t xml:space="preserve">/</t>
    </r>
    <r>
      <rPr>
        <sz val="11"/>
        <color theme="1"/>
        <rFont val="Noto Sans Devanagari"/>
        <family val="2"/>
        <charset val="1"/>
      </rPr>
      <t xml:space="preserve">רווח</t>
    </r>
  </si>
  <si>
    <t xml:space="preserve">טיפ מלצרים</t>
  </si>
  <si>
    <r>
      <rPr>
        <sz val="11"/>
        <color theme="1"/>
        <rFont val="Noto Sans Devanagari"/>
        <family val="2"/>
        <charset val="1"/>
      </rPr>
      <t xml:space="preserve">צעצועים</t>
    </r>
    <r>
      <rPr>
        <sz val="11"/>
        <color theme="1"/>
        <rFont val="Calibri"/>
        <family val="2"/>
        <charset val="177"/>
      </rPr>
      <t xml:space="preserve">/</t>
    </r>
    <r>
      <rPr>
        <sz val="11"/>
        <color theme="1"/>
        <rFont val="Noto Sans Devanagari"/>
        <family val="2"/>
        <charset val="1"/>
      </rPr>
      <t xml:space="preserve">שטויות</t>
    </r>
  </si>
  <si>
    <t xml:space="preserve">דמי מזיגה</t>
  </si>
  <si>
    <t xml:space="preserve">טבעות</t>
  </si>
  <si>
    <t xml:space="preserve">הזמנות לחתונה</t>
  </si>
  <si>
    <t xml:space="preserve">רבנות</t>
  </si>
  <si>
    <t xml:space="preserve">הפקה</t>
  </si>
  <si>
    <t xml:space="preserve">יובל</t>
  </si>
  <si>
    <t xml:space="preserve">שמלות</t>
  </si>
  <si>
    <t xml:space="preserve">תיקונים לשמלה</t>
  </si>
  <si>
    <t xml:space="preserve">תכשיטים</t>
  </si>
  <si>
    <t xml:space="preserve">נעליים</t>
  </si>
  <si>
    <t xml:space="preserve">איפור ושיער</t>
  </si>
  <si>
    <t xml:space="preserve">זר כלה</t>
  </si>
  <si>
    <t xml:space="preserve">סהר</t>
  </si>
  <si>
    <t xml:space="preserve">בגדים </t>
  </si>
  <si>
    <r>
      <rPr>
        <sz val="11"/>
        <color theme="1"/>
        <rFont val="Noto Sans Devanagari"/>
        <family val="2"/>
        <charset val="1"/>
      </rPr>
      <t xml:space="preserve">סה</t>
    </r>
    <r>
      <rPr>
        <sz val="11"/>
        <color theme="1"/>
        <rFont val="Calibri"/>
        <family val="2"/>
        <charset val="177"/>
      </rPr>
      <t xml:space="preserve">"</t>
    </r>
    <r>
      <rPr>
        <sz val="11"/>
        <color theme="1"/>
        <rFont val="Noto Sans Devanagari"/>
        <family val="2"/>
        <charset val="1"/>
      </rPr>
      <t xml:space="preserve">כ מקדמות</t>
    </r>
  </si>
  <si>
    <r>
      <rPr>
        <sz val="11"/>
        <color theme="1"/>
        <rFont val="Noto Sans Devanagari"/>
        <family val="2"/>
        <charset val="1"/>
      </rPr>
      <t xml:space="preserve">סה</t>
    </r>
    <r>
      <rPr>
        <sz val="11"/>
        <color theme="1"/>
        <rFont val="Calibri"/>
        <family val="2"/>
        <charset val="177"/>
      </rPr>
      <t xml:space="preserve">"</t>
    </r>
    <r>
      <rPr>
        <sz val="11"/>
        <color theme="1"/>
        <rFont val="Noto Sans Devanagari"/>
        <family val="2"/>
        <charset val="1"/>
      </rPr>
      <t xml:space="preserve">כ עלות</t>
    </r>
  </si>
  <si>
    <t xml:space="preserve">פר אדם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</si>
</sst>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&quot;₪ &quot;* #,##0.00_ ;_ &quot;₪ &quot;* \-#,##0.00_ ;_ &quot;₪ &quot;* \-??_ ;_ @_ "/>
    <numFmt numFmtId="166" formatCode="_ &quot;₪ &quot;* #,##0_ ;_ &quot;₪ &quot;* \-#,##0_ ;_ &quot;₪ &quot;* \-??_ ;_ @_ "/>
    <numFmt numFmtId="167" formatCode="&quot;₪ &quot;#,##0.00"/>
  </numFmts>
  <fonts count="20">
    <font>
      <sz val="11"/>
      <color theme="1"/>
      <name val="Calibri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Devanagari"/>
      <family val="2"/>
      <charset val="1"/>
    </font>
    <font>
      <b val="true"/>
      <sz val="11"/>
      <name val="Noto Sans Devanagari"/>
      <family val="2"/>
      <charset val="1"/>
    </font>
    <font>
      <b val="true"/>
      <sz val="11"/>
      <color rgb="FF000000"/>
      <name val="FreeSans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1"/>
      <color theme="1"/>
      <name val="Noto Sans Devanagari"/>
      <family val="2"/>
      <charset val="1"/>
    </font>
    <font>
      <sz val="11"/>
      <name val="Noto Sans Devanagari"/>
      <family val="2"/>
      <charset val="1"/>
    </font>
    <font>
      <sz val="11"/>
      <name val="Calibri"/>
      <family val="2"/>
      <charset val="1"/>
    </font>
    <font>
      <sz val="11"/>
      <color theme="1"/>
      <name val="Noto Sans Devanaga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Noto Sans Devanagari"/>
      <family val="2"/>
    </font>
    <font>
      <sz val="11"/>
      <color rgb="FF9C6500"/>
      <name val="Calibri"/>
      <family val="2"/>
      <charset val="177"/>
    </font>
    <font>
      <b val="true"/>
      <sz val="11"/>
      <color rgb="FF9C6500"/>
      <name val="Calibri"/>
      <family val="2"/>
      <charset val="1"/>
    </font>
    <font>
      <sz val="11"/>
      <color rgb="FF9C6500"/>
      <name val="Noto Sans Devanagari"/>
      <family val="2"/>
      <charset val="1"/>
    </font>
    <font>
      <b val="true"/>
      <u val="singl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2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4" borderId="3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3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1345" displayName="טבלה1345" ref="A2:K281" headerRowCount="1" totalsRowCount="0" totalsRowShown="0">
  <autoFilter ref="A2:K281"/>
  <tableColumns count="11">
    <tableColumn id="1" name="שם מלא"/>
    <tableColumn id="2" name="כמות מוזמנים"/>
    <tableColumn id="3" name="מאיפה מגיעים"/>
    <tableColumn id="4" name="הזמנה(1-כן, 0-לא)"/>
    <tableColumn id="5" name="בטוחים-1, סימן שאלה - 2, מוזמנים אך לא -3"/>
    <tableColumn id="6" name="חלוקה (1 כן)"/>
    <tableColumn id="7" name="וידוא הגעה(1-כן)"/>
    <tableColumn id="8" name="כמות סימני שאלה(לצורך חישוב)"/>
    <tableColumn id="9" name="לא מגיעים (לצורך חישוב)"/>
    <tableColumn id="10" name="כמות הגיעו בפועל (אחרי חתונה)"/>
    <tableColumn id="11" name="כסף"/>
  </tableColumns>
</table>
</file>

<file path=xl/tables/table2.xml><?xml version="1.0" encoding="utf-8"?>
<table xmlns="http://schemas.openxmlformats.org/spreadsheetml/2006/main" id="2" name="טבלה13452" displayName="טבלה13452" ref="A2:K281" headerRowCount="1" totalsRowCount="0" totalsRowShown="0">
  <autoFilter ref="A2:K281"/>
  <tableColumns count="11">
    <tableColumn id="1" name="שם מלא"/>
    <tableColumn id="2" name="כמות מוזמנים"/>
    <tableColumn id="3" name="מאיפה מגיעים"/>
    <tableColumn id="4" name="הזמנה(1-כן, 0-לא)"/>
    <tableColumn id="5" name="בטוחים-1, סימן שאלה - 2, מוזמנים אך לא -3"/>
    <tableColumn id="6" name="חלוקה (1 כן)"/>
    <tableColumn id="7" name="וידוא הגעה(1-כן)"/>
    <tableColumn id="8" name="כמות סימני שאלה(לצורך חישוב)"/>
    <tableColumn id="9" name="לא מגיעים (לצורך חישוב)"/>
    <tableColumn id="10" name="כמות הגיעו בפועל (אחרי חתונה)"/>
    <tableColumn id="11" name="כסף"/>
  </tableColumns>
</table>
</file>

<file path=xl/tables/table3.xml><?xml version="1.0" encoding="utf-8"?>
<table xmlns="http://schemas.openxmlformats.org/spreadsheetml/2006/main" id="3" name="טבלה13453" displayName="טבלה13453" ref="A2:M344" headerRowCount="1" totalsRowCount="0" totalsRowShown="0">
  <autoFilter ref="A2:M344"/>
  <tableColumns count="13">
    <tableColumn id="1" name="שם מלא"/>
    <tableColumn id="2" name="כמות מוזמנים"/>
    <tableColumn id="3" name="צד"/>
    <tableColumn id="4" name="תפקיד"/>
    <tableColumn id="5" name="מאיפה מגיעים"/>
    <tableColumn id="6" name="הזמנה(1-כן, 0-לא)"/>
    <tableColumn id="7" name="בטוחים-1, סימן שאלה - 2, מוזמנים אך לא -3"/>
    <tableColumn id="8" name="חלוקה (1 כן)"/>
    <tableColumn id="9" name="וידוא הגעה(1-כן)"/>
    <tableColumn id="10" name="כמות סימני שאלה(לצורך חישוב)"/>
    <tableColumn id="11" name="לא מגיעים (לצורך חישוב)"/>
    <tableColumn id="12" name="כמות הגיעו בפועל (אחרי חתונה)"/>
    <tableColumn id="13" name="כסף"/>
  </tableColumns>
</table>
</file>

<file path=xl/tables/table4.xml><?xml version="1.0" encoding="utf-8"?>
<table xmlns="http://schemas.openxmlformats.org/spreadsheetml/2006/main" id="4" name="טבלה134534" displayName="טבלה134534" ref="A2:M321" headerRowCount="1" totalsRowCount="0" totalsRowShown="0">
  <autoFilter ref="A2:M321"/>
  <tableColumns count="13">
    <tableColumn id="1" name="שם מלא"/>
    <tableColumn id="2" name="כמות מוזמנים"/>
    <tableColumn id="3" name="צד"/>
    <tableColumn id="4" name="קירבה"/>
    <tableColumn id="5" name="מאיפה מגיעים"/>
    <tableColumn id="6" name="הזמנה(1-כן, 0-לא)"/>
    <tableColumn id="7" name="בטוחים-1, סימן שאלה - 2, מוזמנים אך לא -3"/>
    <tableColumn id="8" name="חלוקה (1 כן)"/>
    <tableColumn id="9" name="וידוא הגעה(1-כן)"/>
    <tableColumn id="10" name="כמות סימני שאלה(לצורך חישוב)"/>
    <tableColumn id="11" name="לא מגיעים (לצורך חישוב)"/>
    <tableColumn id="12" name="כמות הגיעו בפועל (אחרי חתונה)"/>
    <tableColumn id="13" name="כסף"/>
  </tableColumns>
</table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1"/>
  <sheetViews>
    <sheetView showFormulas="false" showGridLines="true" showRowColHeaders="true" showZeros="true" rightToLeft="true" tabSelected="false" showOutlineSymbols="true" defaultGridColor="true" view="normal" topLeftCell="A22" colorId="64" zoomScale="100" zoomScaleNormal="100" zoomScalePageLayoutView="100" workbookViewId="0">
      <selection pane="topLeft" activeCell="D48" activeCellId="1" sqref="D4:D5 D48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2.18"/>
    <col collapsed="false" customWidth="true" hidden="false" outlineLevel="0" max="3" min="2" style="1" width="12.45"/>
    <col collapsed="false" customWidth="true" hidden="false" outlineLevel="0" max="4" min="4" style="1" width="15.02"/>
    <col collapsed="false" customWidth="true" hidden="false" outlineLevel="0" max="5" min="5" style="1" width="12.45"/>
    <col collapsed="false" customWidth="true" hidden="false" outlineLevel="0" max="6" min="6" style="1" width="14.45"/>
    <col collapsed="false" customWidth="true" hidden="false" outlineLevel="0" max="7" min="7" style="1" width="15.82"/>
    <col collapsed="false" customWidth="true" hidden="false" outlineLevel="0" max="8" min="8" style="1" width="20.18"/>
    <col collapsed="false" customWidth="true" hidden="false" outlineLevel="0" max="10" min="9" style="1" width="14.73"/>
    <col collapsed="false" customWidth="true" hidden="false" outlineLevel="0" max="11" min="11" style="1" width="17.54"/>
    <col collapsed="false" customWidth="true" hidden="false" outlineLevel="0" max="12" min="12" style="1" width="16.73"/>
    <col collapsed="false" customWidth="true" hidden="false" outlineLevel="0" max="13" min="13" style="1" width="25.54"/>
    <col collapsed="false" customWidth="false" hidden="false" outlineLevel="0" max="14" min="14" style="1" width="8.73"/>
    <col collapsed="false" customWidth="true" hidden="false" outlineLevel="0" max="15" min="15" style="1" width="14.27"/>
    <col collapsed="false" customWidth="false" hidden="false" outlineLevel="0" max="16" min="16" style="1" width="8.73"/>
    <col collapsed="false" customWidth="false" hidden="false" outlineLevel="0" max="16384" min="19" style="1" width="8.7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</row>
    <row r="2" customFormat="false" ht="45.75" hidden="false" customHeight="true" outlineLevel="0" collapsed="false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</row>
    <row r="3" customFormat="false" ht="15.65" hidden="false" customHeight="false" outlineLevel="0" collapsed="false">
      <c r="A3" s="7" t="s">
        <v>13</v>
      </c>
      <c r="B3" s="8" t="n">
        <v>6</v>
      </c>
      <c r="C3" s="9" t="s">
        <v>14</v>
      </c>
      <c r="D3" s="9" t="s">
        <v>15</v>
      </c>
      <c r="E3" s="9" t="s">
        <v>16</v>
      </c>
      <c r="F3" s="10"/>
      <c r="G3" s="10"/>
      <c r="H3" s="10"/>
      <c r="I3" s="10"/>
      <c r="J3" s="10"/>
      <c r="K3" s="10"/>
      <c r="L3" s="10"/>
      <c r="M3" s="11"/>
      <c r="O3" s="12" t="s">
        <v>17</v>
      </c>
    </row>
    <row r="4" customFormat="false" ht="15.65" hidden="false" customHeight="false" outlineLevel="0" collapsed="false">
      <c r="A4" s="13" t="s">
        <v>18</v>
      </c>
      <c r="B4" s="14" t="n">
        <v>1</v>
      </c>
      <c r="C4" s="9" t="s">
        <v>14</v>
      </c>
      <c r="D4" s="9" t="s">
        <v>19</v>
      </c>
      <c r="E4" s="15" t="s">
        <v>20</v>
      </c>
      <c r="F4" s="16"/>
      <c r="G4" s="16"/>
      <c r="H4" s="16"/>
      <c r="I4" s="16"/>
      <c r="J4" s="16"/>
      <c r="K4" s="16"/>
      <c r="L4" s="16"/>
      <c r="M4" s="17"/>
      <c r="O4" s="18" t="s">
        <v>21</v>
      </c>
      <c r="P4" s="19" t="n">
        <f aca="false">SUM(טבלה134534[כמות מוזמנים])</f>
        <v>134</v>
      </c>
    </row>
    <row r="5" customFormat="false" ht="15.65" hidden="false" customHeight="false" outlineLevel="0" collapsed="false">
      <c r="A5" s="13" t="s">
        <v>22</v>
      </c>
      <c r="B5" s="15" t="n">
        <v>4</v>
      </c>
      <c r="C5" s="9" t="s">
        <v>14</v>
      </c>
      <c r="D5" s="20" t="s">
        <v>23</v>
      </c>
      <c r="E5" s="15" t="s">
        <v>24</v>
      </c>
      <c r="F5" s="16"/>
      <c r="G5" s="16"/>
      <c r="H5" s="16"/>
      <c r="I5" s="16"/>
      <c r="J5" s="16"/>
      <c r="K5" s="16"/>
      <c r="L5" s="16"/>
      <c r="M5" s="17"/>
      <c r="O5" s="21" t="s">
        <v>25</v>
      </c>
      <c r="P5" s="22" t="n">
        <f aca="false">SUMIF(טבלה134534[בטוחים-1, סימן שאלה - 2, מוזמנים אך לא -3],1,טבלה134534[כמות מוזמנים])</f>
        <v>0</v>
      </c>
    </row>
    <row r="6" customFormat="false" ht="15.65" hidden="false" customHeight="false" outlineLevel="0" collapsed="false">
      <c r="A6" s="13" t="s">
        <v>26</v>
      </c>
      <c r="B6" s="15" t="n">
        <v>2</v>
      </c>
      <c r="C6" s="9" t="s">
        <v>14</v>
      </c>
      <c r="D6" s="20" t="s">
        <v>23</v>
      </c>
      <c r="E6" s="15" t="s">
        <v>27</v>
      </c>
      <c r="F6" s="16"/>
      <c r="G6" s="16"/>
      <c r="H6" s="16"/>
      <c r="I6" s="16"/>
      <c r="J6" s="16"/>
      <c r="K6" s="16"/>
      <c r="L6" s="16"/>
      <c r="M6" s="17"/>
      <c r="O6" s="21" t="s">
        <v>28</v>
      </c>
      <c r="P6" s="23" t="n">
        <f aca="false">SUMIF(טבלה134534[בטוחים-1, סימן שאלה - 2, מוזמנים אך לא -3],2,טבלה134534[כמות מוזמנים])</f>
        <v>0</v>
      </c>
    </row>
    <row r="7" customFormat="false" ht="15.65" hidden="false" customHeight="false" outlineLevel="0" collapsed="false">
      <c r="A7" s="13" t="s">
        <v>29</v>
      </c>
      <c r="B7" s="15" t="n">
        <v>1</v>
      </c>
      <c r="C7" s="9" t="s">
        <v>14</v>
      </c>
      <c r="D7" s="20" t="s">
        <v>23</v>
      </c>
      <c r="E7" s="15" t="s">
        <v>30</v>
      </c>
      <c r="F7" s="16"/>
      <c r="G7" s="16"/>
      <c r="H7" s="16"/>
      <c r="I7" s="16"/>
      <c r="J7" s="16"/>
      <c r="K7" s="16"/>
      <c r="L7" s="16"/>
      <c r="M7" s="17"/>
      <c r="O7" s="24" t="s">
        <v>31</v>
      </c>
      <c r="P7" s="25" t="n">
        <f aca="false">SUM(טבלה134534[הזמנה(1-כן, 0-לא)])</f>
        <v>0</v>
      </c>
    </row>
    <row r="8" customFormat="false" ht="15.65" hidden="false" customHeight="false" outlineLevel="0" collapsed="false">
      <c r="A8" s="13" t="s">
        <v>32</v>
      </c>
      <c r="B8" s="15" t="n">
        <v>4</v>
      </c>
      <c r="C8" s="9" t="s">
        <v>14</v>
      </c>
      <c r="D8" s="20" t="s">
        <v>23</v>
      </c>
      <c r="E8" s="15" t="s">
        <v>20</v>
      </c>
      <c r="F8" s="16"/>
      <c r="G8" s="16"/>
      <c r="H8" s="16"/>
      <c r="I8" s="16"/>
      <c r="J8" s="16"/>
      <c r="K8" s="16"/>
      <c r="L8" s="16"/>
      <c r="M8" s="17"/>
    </row>
    <row r="9" customFormat="false" ht="15.65" hidden="false" customHeight="false" outlineLevel="0" collapsed="false">
      <c r="A9" s="13" t="s">
        <v>33</v>
      </c>
      <c r="B9" s="15" t="n">
        <v>1</v>
      </c>
      <c r="C9" s="9" t="s">
        <v>34</v>
      </c>
      <c r="D9" s="20" t="s">
        <v>19</v>
      </c>
      <c r="E9" s="15" t="s">
        <v>35</v>
      </c>
      <c r="F9" s="16"/>
      <c r="G9" s="16"/>
      <c r="H9" s="16"/>
      <c r="I9" s="16"/>
      <c r="J9" s="16"/>
      <c r="K9" s="16"/>
      <c r="L9" s="16"/>
      <c r="M9" s="17"/>
    </row>
    <row r="10" customFormat="false" ht="15.65" hidden="false" customHeight="false" outlineLevel="0" collapsed="false">
      <c r="A10" s="13" t="s">
        <v>36</v>
      </c>
      <c r="B10" s="15" t="n">
        <v>4</v>
      </c>
      <c r="C10" s="9" t="s">
        <v>14</v>
      </c>
      <c r="D10" s="20" t="s">
        <v>23</v>
      </c>
      <c r="E10" s="15" t="s">
        <v>37</v>
      </c>
      <c r="F10" s="16"/>
      <c r="G10" s="16"/>
      <c r="H10" s="16"/>
      <c r="I10" s="16"/>
      <c r="J10" s="16"/>
      <c r="K10" s="16"/>
      <c r="L10" s="16"/>
      <c r="M10" s="17"/>
    </row>
    <row r="11" customFormat="false" ht="15.65" hidden="false" customHeight="false" outlineLevel="0" collapsed="false">
      <c r="A11" s="13" t="s">
        <v>38</v>
      </c>
      <c r="B11" s="15" t="n">
        <v>2</v>
      </c>
      <c r="C11" s="9" t="s">
        <v>14</v>
      </c>
      <c r="D11" s="20" t="s">
        <v>23</v>
      </c>
      <c r="E11" s="15" t="s">
        <v>39</v>
      </c>
      <c r="F11" s="16"/>
      <c r="G11" s="16"/>
      <c r="H11" s="16"/>
      <c r="I11" s="16"/>
      <c r="J11" s="16"/>
      <c r="K11" s="16"/>
      <c r="L11" s="16"/>
      <c r="M11" s="17"/>
      <c r="O11" s="12" t="s">
        <v>40</v>
      </c>
    </row>
    <row r="12" customFormat="false" ht="15.65" hidden="false" customHeight="false" outlineLevel="0" collapsed="false">
      <c r="A12" s="26" t="s">
        <v>41</v>
      </c>
      <c r="B12" s="27" t="n">
        <v>1</v>
      </c>
      <c r="C12" s="9" t="s">
        <v>14</v>
      </c>
      <c r="D12" s="9" t="s">
        <v>42</v>
      </c>
      <c r="E12" s="28" t="s">
        <v>43</v>
      </c>
      <c r="F12" s="29"/>
      <c r="G12" s="29"/>
      <c r="H12" s="29"/>
      <c r="I12" s="29"/>
      <c r="J12" s="29"/>
      <c r="K12" s="29"/>
      <c r="L12" s="29"/>
      <c r="M12" s="30"/>
      <c r="O12" s="18" t="s">
        <v>44</v>
      </c>
      <c r="P12" s="19" t="n">
        <f aca="false">SUM(טבלה134534[כמות הגיעו בפועל (אחרי חתונה)])</f>
        <v>0</v>
      </c>
    </row>
    <row r="13" customFormat="false" ht="15.65" hidden="false" customHeight="false" outlineLevel="0" collapsed="false">
      <c r="A13" s="18" t="s">
        <v>45</v>
      </c>
      <c r="B13" s="31" t="n">
        <v>4</v>
      </c>
      <c r="C13" s="9" t="s">
        <v>14</v>
      </c>
      <c r="D13" s="9" t="s">
        <v>46</v>
      </c>
      <c r="E13" s="32" t="s">
        <v>16</v>
      </c>
      <c r="F13" s="31"/>
      <c r="G13" s="31"/>
      <c r="H13" s="31"/>
      <c r="I13" s="31"/>
      <c r="J13" s="31"/>
      <c r="K13" s="31"/>
      <c r="L13" s="31"/>
      <c r="M13" s="19"/>
      <c r="O13" s="24" t="s">
        <v>47</v>
      </c>
      <c r="P13" s="25" t="n">
        <f aca="false">SUM(טבלה134534[כסף])</f>
        <v>0</v>
      </c>
    </row>
    <row r="14" customFormat="false" ht="15.65" hidden="false" customHeight="false" outlineLevel="0" collapsed="false">
      <c r="A14" s="21" t="s">
        <v>48</v>
      </c>
      <c r="B14" s="20" t="n">
        <v>5</v>
      </c>
      <c r="C14" s="9" t="s">
        <v>14</v>
      </c>
      <c r="D14" s="9" t="s">
        <v>46</v>
      </c>
      <c r="E14" s="33" t="s">
        <v>16</v>
      </c>
      <c r="F14" s="20"/>
      <c r="G14" s="20"/>
      <c r="H14" s="20"/>
      <c r="I14" s="20"/>
      <c r="J14" s="20"/>
      <c r="K14" s="20"/>
      <c r="L14" s="20"/>
      <c r="M14" s="22"/>
    </row>
    <row r="15" customFormat="false" ht="15.65" hidden="false" customHeight="false" outlineLevel="0" collapsed="false">
      <c r="A15" s="21" t="s">
        <v>49</v>
      </c>
      <c r="B15" s="20" t="n">
        <v>5</v>
      </c>
      <c r="C15" s="9" t="s">
        <v>14</v>
      </c>
      <c r="D15" s="9" t="s">
        <v>46</v>
      </c>
      <c r="E15" s="33" t="s">
        <v>16</v>
      </c>
      <c r="F15" s="20"/>
      <c r="G15" s="20"/>
      <c r="H15" s="20"/>
      <c r="I15" s="20"/>
      <c r="J15" s="20"/>
      <c r="K15" s="20"/>
      <c r="L15" s="20"/>
      <c r="M15" s="22"/>
    </row>
    <row r="16" customFormat="false" ht="15.65" hidden="false" customHeight="false" outlineLevel="0" collapsed="false">
      <c r="A16" s="21" t="s">
        <v>50</v>
      </c>
      <c r="B16" s="20" t="n">
        <v>6</v>
      </c>
      <c r="C16" s="9" t="s">
        <v>14</v>
      </c>
      <c r="D16" s="9" t="s">
        <v>46</v>
      </c>
      <c r="E16" s="33" t="s">
        <v>16</v>
      </c>
      <c r="F16" s="20"/>
      <c r="G16" s="20"/>
      <c r="H16" s="20"/>
      <c r="I16" s="20"/>
      <c r="J16" s="20"/>
      <c r="K16" s="20"/>
      <c r="L16" s="20"/>
      <c r="M16" s="22"/>
    </row>
    <row r="17" customFormat="false" ht="15.65" hidden="false" customHeight="false" outlineLevel="0" collapsed="false">
      <c r="A17" s="34" t="s">
        <v>51</v>
      </c>
      <c r="B17" s="35" t="n">
        <v>6</v>
      </c>
      <c r="C17" s="9" t="s">
        <v>14</v>
      </c>
      <c r="D17" s="9" t="s">
        <v>46</v>
      </c>
      <c r="E17" s="33" t="s">
        <v>16</v>
      </c>
      <c r="F17" s="35"/>
      <c r="G17" s="35"/>
      <c r="H17" s="35"/>
      <c r="I17" s="35"/>
      <c r="J17" s="35"/>
      <c r="K17" s="35"/>
      <c r="L17" s="35"/>
      <c r="M17" s="23"/>
    </row>
    <row r="18" customFormat="false" ht="15.65" hidden="false" customHeight="false" outlineLevel="0" collapsed="false">
      <c r="A18" s="36" t="s">
        <v>52</v>
      </c>
      <c r="B18" s="20" t="n">
        <v>2</v>
      </c>
      <c r="C18" s="9" t="s">
        <v>14</v>
      </c>
      <c r="D18" s="9" t="s">
        <v>46</v>
      </c>
      <c r="E18" s="33" t="s">
        <v>16</v>
      </c>
      <c r="F18" s="20"/>
      <c r="G18" s="20"/>
      <c r="H18" s="20"/>
      <c r="I18" s="20"/>
      <c r="J18" s="20"/>
      <c r="K18" s="20"/>
      <c r="L18" s="20"/>
      <c r="M18" s="37"/>
    </row>
    <row r="19" customFormat="false" ht="15.65" hidden="false" customHeight="false" outlineLevel="0" collapsed="false">
      <c r="A19" s="21" t="s">
        <v>53</v>
      </c>
      <c r="B19" s="20" t="n">
        <v>2</v>
      </c>
      <c r="C19" s="9" t="s">
        <v>14</v>
      </c>
      <c r="D19" s="9" t="s">
        <v>46</v>
      </c>
      <c r="E19" s="33" t="s">
        <v>16</v>
      </c>
      <c r="F19" s="20"/>
      <c r="G19" s="20"/>
      <c r="H19" s="20"/>
      <c r="I19" s="20"/>
      <c r="J19" s="20"/>
      <c r="K19" s="20"/>
      <c r="L19" s="20"/>
      <c r="M19" s="22"/>
    </row>
    <row r="20" customFormat="false" ht="15.65" hidden="false" customHeight="false" outlineLevel="0" collapsed="false">
      <c r="A20" s="21" t="s">
        <v>54</v>
      </c>
      <c r="B20" s="20" t="n">
        <v>2</v>
      </c>
      <c r="C20" s="9" t="s">
        <v>14</v>
      </c>
      <c r="D20" s="9" t="s">
        <v>46</v>
      </c>
      <c r="E20" s="33" t="s">
        <v>16</v>
      </c>
      <c r="F20" s="20"/>
      <c r="G20" s="20"/>
      <c r="H20" s="20"/>
      <c r="I20" s="20"/>
      <c r="J20" s="20"/>
      <c r="K20" s="20"/>
      <c r="L20" s="20"/>
      <c r="M20" s="22"/>
    </row>
    <row r="21" customFormat="false" ht="15.65" hidden="false" customHeight="false" outlineLevel="0" collapsed="false">
      <c r="A21" s="34" t="s">
        <v>55</v>
      </c>
      <c r="B21" s="35" t="n">
        <v>2</v>
      </c>
      <c r="C21" s="9" t="s">
        <v>14</v>
      </c>
      <c r="D21" s="9" t="s">
        <v>46</v>
      </c>
      <c r="E21" s="38" t="s">
        <v>16</v>
      </c>
      <c r="F21" s="35"/>
      <c r="G21" s="35"/>
      <c r="H21" s="35"/>
      <c r="I21" s="35"/>
      <c r="J21" s="35"/>
      <c r="K21" s="35"/>
      <c r="L21" s="35"/>
      <c r="M21" s="23"/>
    </row>
    <row r="22" customFormat="false" ht="15.65" hidden="false" customHeight="false" outlineLevel="0" collapsed="false">
      <c r="A22" s="18" t="s">
        <v>56</v>
      </c>
      <c r="B22" s="31" t="n">
        <v>1</v>
      </c>
      <c r="C22" s="9" t="s">
        <v>14</v>
      </c>
      <c r="D22" s="36" t="s">
        <v>57</v>
      </c>
      <c r="E22" s="32" t="s">
        <v>58</v>
      </c>
      <c r="F22" s="31"/>
      <c r="G22" s="31"/>
      <c r="H22" s="31"/>
      <c r="I22" s="31"/>
      <c r="J22" s="31"/>
      <c r="K22" s="31"/>
      <c r="L22" s="31"/>
      <c r="M22" s="19"/>
    </row>
    <row r="23" customFormat="false" ht="15.65" hidden="false" customHeight="false" outlineLevel="0" collapsed="false">
      <c r="A23" s="21" t="s">
        <v>59</v>
      </c>
      <c r="B23" s="20" t="n">
        <v>1</v>
      </c>
      <c r="C23" s="9" t="s">
        <v>14</v>
      </c>
      <c r="D23" s="36" t="s">
        <v>57</v>
      </c>
      <c r="E23" s="20"/>
      <c r="F23" s="20"/>
      <c r="G23" s="20"/>
      <c r="H23" s="20"/>
      <c r="I23" s="20"/>
      <c r="J23" s="20"/>
      <c r="K23" s="20"/>
      <c r="L23" s="20"/>
      <c r="M23" s="22"/>
    </row>
    <row r="24" customFormat="false" ht="15.65" hidden="false" customHeight="false" outlineLevel="0" collapsed="false">
      <c r="A24" s="21" t="s">
        <v>60</v>
      </c>
      <c r="B24" s="20" t="n">
        <v>1</v>
      </c>
      <c r="C24" s="9" t="s">
        <v>14</v>
      </c>
      <c r="D24" s="36" t="s">
        <v>57</v>
      </c>
      <c r="E24" s="33" t="s">
        <v>61</v>
      </c>
      <c r="F24" s="20"/>
      <c r="G24" s="20"/>
      <c r="H24" s="20"/>
      <c r="I24" s="20"/>
      <c r="J24" s="20"/>
      <c r="K24" s="20"/>
      <c r="L24" s="20"/>
      <c r="M24" s="22"/>
    </row>
    <row r="25" customFormat="false" ht="15.65" hidden="false" customHeight="false" outlineLevel="0" collapsed="false">
      <c r="A25" s="21" t="s">
        <v>62</v>
      </c>
      <c r="B25" s="20" t="n">
        <v>1</v>
      </c>
      <c r="C25" s="9" t="s">
        <v>14</v>
      </c>
      <c r="D25" s="36" t="s">
        <v>57</v>
      </c>
      <c r="E25" s="20"/>
      <c r="F25" s="20"/>
      <c r="G25" s="20"/>
      <c r="H25" s="20"/>
      <c r="I25" s="20"/>
      <c r="J25" s="20"/>
      <c r="K25" s="20"/>
      <c r="L25" s="20"/>
      <c r="M25" s="22"/>
    </row>
    <row r="26" customFormat="false" ht="15.65" hidden="false" customHeight="false" outlineLevel="0" collapsed="false">
      <c r="A26" s="36" t="s">
        <v>63</v>
      </c>
      <c r="B26" s="20" t="n">
        <v>2</v>
      </c>
      <c r="C26" s="9" t="s">
        <v>14</v>
      </c>
      <c r="D26" s="36" t="s">
        <v>57</v>
      </c>
      <c r="E26" s="33" t="s">
        <v>64</v>
      </c>
      <c r="F26" s="20"/>
      <c r="G26" s="20"/>
      <c r="H26" s="20"/>
      <c r="I26" s="20"/>
      <c r="J26" s="20"/>
      <c r="K26" s="20"/>
      <c r="L26" s="20"/>
      <c r="M26" s="37"/>
    </row>
    <row r="27" customFormat="false" ht="15.65" hidden="false" customHeight="false" outlineLevel="0" collapsed="false">
      <c r="A27" s="36" t="s">
        <v>65</v>
      </c>
      <c r="B27" s="20" t="n">
        <v>2</v>
      </c>
      <c r="C27" s="9" t="s">
        <v>14</v>
      </c>
      <c r="D27" s="36" t="s">
        <v>57</v>
      </c>
      <c r="E27" s="33" t="s">
        <v>66</v>
      </c>
      <c r="F27" s="20"/>
      <c r="G27" s="20"/>
      <c r="H27" s="20"/>
      <c r="I27" s="20"/>
      <c r="J27" s="20"/>
      <c r="K27" s="20"/>
      <c r="L27" s="20"/>
      <c r="M27" s="37"/>
    </row>
    <row r="28" customFormat="false" ht="15.65" hidden="false" customHeight="false" outlineLevel="0" collapsed="false">
      <c r="A28" s="36" t="s">
        <v>67</v>
      </c>
      <c r="B28" s="20" t="n">
        <v>2</v>
      </c>
      <c r="C28" s="9" t="s">
        <v>14</v>
      </c>
      <c r="D28" s="36" t="s">
        <v>57</v>
      </c>
      <c r="E28" s="33" t="s">
        <v>68</v>
      </c>
      <c r="F28" s="20"/>
      <c r="G28" s="20"/>
      <c r="H28" s="20"/>
      <c r="I28" s="20"/>
      <c r="J28" s="20"/>
      <c r="K28" s="20"/>
      <c r="L28" s="20"/>
      <c r="M28" s="37"/>
    </row>
    <row r="29" customFormat="false" ht="15.65" hidden="false" customHeight="false" outlineLevel="0" collapsed="false">
      <c r="A29" s="36" t="s">
        <v>69</v>
      </c>
      <c r="B29" s="20" t="n">
        <v>2</v>
      </c>
      <c r="C29" s="9" t="s">
        <v>14</v>
      </c>
      <c r="D29" s="36" t="s">
        <v>57</v>
      </c>
      <c r="E29" s="20"/>
      <c r="F29" s="20"/>
      <c r="G29" s="20"/>
      <c r="H29" s="20"/>
      <c r="I29" s="20"/>
      <c r="J29" s="20"/>
      <c r="K29" s="20"/>
      <c r="L29" s="20"/>
      <c r="M29" s="37"/>
    </row>
    <row r="30" customFormat="false" ht="15.65" hidden="false" customHeight="false" outlineLevel="0" collapsed="false">
      <c r="A30" s="36" t="s">
        <v>70</v>
      </c>
      <c r="B30" s="20" t="n">
        <v>2</v>
      </c>
      <c r="C30" s="9" t="s">
        <v>14</v>
      </c>
      <c r="D30" s="36" t="s">
        <v>57</v>
      </c>
      <c r="E30" s="33" t="s">
        <v>71</v>
      </c>
      <c r="F30" s="20"/>
      <c r="G30" s="20"/>
      <c r="H30" s="20"/>
      <c r="I30" s="20"/>
      <c r="J30" s="20"/>
      <c r="K30" s="20"/>
      <c r="L30" s="20"/>
      <c r="M30" s="37"/>
    </row>
    <row r="31" customFormat="false" ht="15.65" hidden="false" customHeight="false" outlineLevel="0" collapsed="false">
      <c r="A31" s="36" t="s">
        <v>72</v>
      </c>
      <c r="B31" s="20" t="n">
        <v>2</v>
      </c>
      <c r="C31" s="9" t="s">
        <v>14</v>
      </c>
      <c r="D31" s="36" t="s">
        <v>57</v>
      </c>
      <c r="E31" s="33" t="s">
        <v>71</v>
      </c>
      <c r="F31" s="20"/>
      <c r="G31" s="20"/>
      <c r="H31" s="20"/>
      <c r="I31" s="20"/>
      <c r="J31" s="20"/>
      <c r="K31" s="20"/>
      <c r="L31" s="20"/>
      <c r="M31" s="37"/>
    </row>
    <row r="32" customFormat="false" ht="15.65" hidden="false" customHeight="false" outlineLevel="0" collapsed="false">
      <c r="A32" s="21" t="s">
        <v>73</v>
      </c>
      <c r="B32" s="20" t="n">
        <v>4</v>
      </c>
      <c r="C32" s="9" t="s">
        <v>14</v>
      </c>
      <c r="D32" s="36" t="s">
        <v>57</v>
      </c>
      <c r="E32" s="33" t="s">
        <v>43</v>
      </c>
      <c r="F32" s="20"/>
      <c r="G32" s="20"/>
      <c r="H32" s="20"/>
      <c r="I32" s="20"/>
      <c r="J32" s="20"/>
      <c r="K32" s="20"/>
      <c r="L32" s="20"/>
      <c r="M32" s="22"/>
    </row>
    <row r="33" customFormat="false" ht="15.65" hidden="false" customHeight="false" outlineLevel="0" collapsed="false">
      <c r="A33" s="21" t="s">
        <v>74</v>
      </c>
      <c r="B33" s="20" t="n">
        <v>2</v>
      </c>
      <c r="C33" s="9" t="s">
        <v>14</v>
      </c>
      <c r="D33" s="36" t="s">
        <v>57</v>
      </c>
      <c r="E33" s="33" t="s">
        <v>75</v>
      </c>
      <c r="F33" s="20"/>
      <c r="G33" s="20"/>
      <c r="H33" s="20"/>
      <c r="I33" s="20"/>
      <c r="J33" s="20"/>
      <c r="K33" s="20"/>
      <c r="L33" s="20"/>
      <c r="M33" s="22"/>
    </row>
    <row r="34" customFormat="false" ht="15.65" hidden="false" customHeight="false" outlineLevel="0" collapsed="false">
      <c r="A34" s="36" t="s">
        <v>76</v>
      </c>
      <c r="B34" s="20" t="n">
        <v>1</v>
      </c>
      <c r="C34" s="9" t="s">
        <v>14</v>
      </c>
      <c r="D34" s="36" t="s">
        <v>57</v>
      </c>
      <c r="E34" s="33" t="s">
        <v>77</v>
      </c>
      <c r="F34" s="20"/>
      <c r="G34" s="20"/>
      <c r="H34" s="20"/>
      <c r="I34" s="20"/>
      <c r="J34" s="20"/>
      <c r="K34" s="20"/>
      <c r="L34" s="20"/>
      <c r="M34" s="37"/>
    </row>
    <row r="35" customFormat="false" ht="15.65" hidden="false" customHeight="false" outlineLevel="0" collapsed="false">
      <c r="A35" s="21" t="s">
        <v>78</v>
      </c>
      <c r="B35" s="20" t="n">
        <v>2</v>
      </c>
      <c r="C35" s="9" t="s">
        <v>14</v>
      </c>
      <c r="D35" s="36" t="s">
        <v>57</v>
      </c>
      <c r="E35" s="33" t="s">
        <v>35</v>
      </c>
      <c r="F35" s="20"/>
      <c r="G35" s="20"/>
      <c r="H35" s="20"/>
      <c r="I35" s="20"/>
      <c r="J35" s="20"/>
      <c r="K35" s="20"/>
      <c r="L35" s="20"/>
      <c r="M35" s="22"/>
    </row>
    <row r="36" customFormat="false" ht="15.65" hidden="false" customHeight="false" outlineLevel="0" collapsed="false">
      <c r="A36" s="21" t="s">
        <v>79</v>
      </c>
      <c r="B36" s="20" t="n">
        <v>2</v>
      </c>
      <c r="C36" s="9" t="s">
        <v>14</v>
      </c>
      <c r="D36" s="36" t="s">
        <v>57</v>
      </c>
      <c r="E36" s="33" t="s">
        <v>80</v>
      </c>
      <c r="F36" s="20"/>
      <c r="G36" s="20"/>
      <c r="H36" s="20"/>
      <c r="I36" s="20"/>
      <c r="J36" s="20"/>
      <c r="K36" s="20"/>
      <c r="L36" s="20"/>
      <c r="M36" s="22"/>
    </row>
    <row r="37" customFormat="false" ht="15.65" hidden="false" customHeight="false" outlineLevel="0" collapsed="false">
      <c r="A37" s="21" t="s">
        <v>81</v>
      </c>
      <c r="B37" s="20" t="n">
        <v>1</v>
      </c>
      <c r="C37" s="9" t="s">
        <v>14</v>
      </c>
      <c r="D37" s="36" t="s">
        <v>57</v>
      </c>
      <c r="E37" s="33" t="s">
        <v>35</v>
      </c>
      <c r="F37" s="20"/>
      <c r="G37" s="20"/>
      <c r="H37" s="20"/>
      <c r="I37" s="20"/>
      <c r="J37" s="20"/>
      <c r="K37" s="20"/>
      <c r="L37" s="20"/>
      <c r="M37" s="22"/>
    </row>
    <row r="38" customFormat="false" ht="15.65" hidden="false" customHeight="false" outlineLevel="0" collapsed="false">
      <c r="A38" s="36" t="s">
        <v>82</v>
      </c>
      <c r="B38" s="20" t="n">
        <v>1</v>
      </c>
      <c r="C38" s="9" t="s">
        <v>14</v>
      </c>
      <c r="D38" s="36" t="s">
        <v>57</v>
      </c>
      <c r="E38" s="33" t="s">
        <v>43</v>
      </c>
      <c r="F38" s="20"/>
      <c r="G38" s="20"/>
      <c r="H38" s="20"/>
      <c r="I38" s="20"/>
      <c r="J38" s="20"/>
      <c r="K38" s="20"/>
      <c r="L38" s="20"/>
      <c r="M38" s="37"/>
    </row>
    <row r="39" customFormat="false" ht="15.65" hidden="false" customHeight="false" outlineLevel="0" collapsed="false">
      <c r="A39" s="24" t="s">
        <v>83</v>
      </c>
      <c r="B39" s="39" t="n">
        <v>2</v>
      </c>
      <c r="C39" s="9" t="s">
        <v>14</v>
      </c>
      <c r="D39" s="36" t="s">
        <v>57</v>
      </c>
      <c r="E39" s="40" t="s">
        <v>84</v>
      </c>
      <c r="F39" s="39"/>
      <c r="G39" s="39"/>
      <c r="H39" s="39"/>
      <c r="I39" s="39"/>
      <c r="J39" s="39"/>
      <c r="K39" s="39"/>
      <c r="L39" s="39"/>
      <c r="M39" s="25"/>
    </row>
    <row r="40" customFormat="false" ht="15.65" hidden="false" customHeight="false" outlineLevel="0" collapsed="false">
      <c r="A40" s="41" t="s">
        <v>85</v>
      </c>
      <c r="B40" s="42" t="n">
        <v>2</v>
      </c>
      <c r="C40" s="9" t="s">
        <v>14</v>
      </c>
      <c r="D40" s="36" t="s">
        <v>57</v>
      </c>
      <c r="E40" s="43" t="s">
        <v>86</v>
      </c>
      <c r="F40" s="42"/>
      <c r="G40" s="42"/>
      <c r="H40" s="42"/>
      <c r="I40" s="42"/>
      <c r="J40" s="42"/>
      <c r="K40" s="42"/>
      <c r="L40" s="42"/>
      <c r="M40" s="44"/>
    </row>
    <row r="41" customFormat="false" ht="15.65" hidden="false" customHeight="false" outlineLevel="0" collapsed="false">
      <c r="A41" s="21" t="s">
        <v>87</v>
      </c>
      <c r="B41" s="20" t="n">
        <v>1</v>
      </c>
      <c r="C41" s="9" t="s">
        <v>14</v>
      </c>
      <c r="D41" s="36" t="s">
        <v>57</v>
      </c>
      <c r="E41" s="33" t="s">
        <v>86</v>
      </c>
      <c r="F41" s="20"/>
      <c r="G41" s="20"/>
      <c r="H41" s="20"/>
      <c r="I41" s="20"/>
      <c r="J41" s="20"/>
      <c r="K41" s="20"/>
      <c r="L41" s="20"/>
      <c r="M41" s="22"/>
    </row>
    <row r="42" customFormat="false" ht="15.65" hidden="false" customHeight="false" outlineLevel="0" collapsed="false">
      <c r="A42" s="21" t="s">
        <v>88</v>
      </c>
      <c r="B42" s="20" t="n">
        <v>1</v>
      </c>
      <c r="C42" s="9" t="s">
        <v>14</v>
      </c>
      <c r="D42" s="36" t="s">
        <v>57</v>
      </c>
      <c r="E42" s="33" t="s">
        <v>86</v>
      </c>
      <c r="F42" s="20"/>
      <c r="G42" s="20"/>
      <c r="H42" s="20"/>
      <c r="I42" s="20"/>
      <c r="J42" s="20"/>
      <c r="K42" s="20"/>
      <c r="L42" s="20"/>
      <c r="M42" s="22"/>
    </row>
    <row r="43" customFormat="false" ht="15.65" hidden="false" customHeight="false" outlineLevel="0" collapsed="false">
      <c r="A43" s="21" t="s">
        <v>89</v>
      </c>
      <c r="B43" s="20" t="n">
        <v>1</v>
      </c>
      <c r="C43" s="9" t="s">
        <v>14</v>
      </c>
      <c r="D43" s="36" t="s">
        <v>57</v>
      </c>
      <c r="E43" s="33" t="s">
        <v>86</v>
      </c>
      <c r="F43" s="20"/>
      <c r="G43" s="20"/>
      <c r="H43" s="20"/>
      <c r="I43" s="20"/>
      <c r="J43" s="20"/>
      <c r="K43" s="20"/>
      <c r="L43" s="20"/>
      <c r="M43" s="22"/>
    </row>
    <row r="44" customFormat="false" ht="15.65" hidden="false" customHeight="false" outlineLevel="0" collapsed="false">
      <c r="A44" s="21" t="s">
        <v>90</v>
      </c>
      <c r="B44" s="20" t="n">
        <v>1</v>
      </c>
      <c r="C44" s="9" t="s">
        <v>14</v>
      </c>
      <c r="D44" s="36" t="s">
        <v>57</v>
      </c>
      <c r="E44" s="33" t="s">
        <v>86</v>
      </c>
      <c r="F44" s="20"/>
      <c r="G44" s="20"/>
      <c r="H44" s="20"/>
      <c r="I44" s="20"/>
      <c r="J44" s="20"/>
      <c r="K44" s="20"/>
      <c r="L44" s="20"/>
      <c r="M44" s="22"/>
    </row>
    <row r="45" customFormat="false" ht="15.65" hidden="false" customHeight="false" outlineLevel="0" collapsed="false">
      <c r="A45" s="21" t="s">
        <v>91</v>
      </c>
      <c r="B45" s="20" t="n">
        <v>1</v>
      </c>
      <c r="C45" s="9" t="s">
        <v>14</v>
      </c>
      <c r="D45" s="36" t="s">
        <v>57</v>
      </c>
      <c r="E45" s="20"/>
      <c r="F45" s="20"/>
      <c r="G45" s="20"/>
      <c r="H45" s="20"/>
      <c r="I45" s="20"/>
      <c r="J45" s="20"/>
      <c r="K45" s="20"/>
      <c r="L45" s="20"/>
      <c r="M45" s="22"/>
    </row>
    <row r="46" customFormat="false" ht="15.65" hidden="false" customHeight="false" outlineLevel="0" collapsed="false">
      <c r="A46" s="21" t="s">
        <v>92</v>
      </c>
      <c r="B46" s="20" t="n">
        <v>1</v>
      </c>
      <c r="C46" s="9" t="s">
        <v>14</v>
      </c>
      <c r="D46" s="36" t="s">
        <v>57</v>
      </c>
      <c r="E46" s="20"/>
      <c r="F46" s="20"/>
      <c r="G46" s="20"/>
      <c r="H46" s="20"/>
      <c r="I46" s="20"/>
      <c r="J46" s="20"/>
      <c r="K46" s="20"/>
      <c r="L46" s="20"/>
      <c r="M46" s="22"/>
    </row>
    <row r="47" customFormat="false" ht="15.65" hidden="false" customHeight="false" outlineLevel="0" collapsed="false">
      <c r="A47" s="21" t="s">
        <v>93</v>
      </c>
      <c r="B47" s="20" t="n">
        <v>4</v>
      </c>
      <c r="C47" s="9" t="s">
        <v>14</v>
      </c>
      <c r="D47" s="9" t="s">
        <v>46</v>
      </c>
      <c r="E47" s="33" t="s">
        <v>20</v>
      </c>
      <c r="F47" s="20"/>
      <c r="G47" s="20"/>
      <c r="H47" s="20"/>
      <c r="I47" s="20"/>
      <c r="J47" s="20"/>
      <c r="K47" s="20"/>
      <c r="L47" s="20"/>
      <c r="M47" s="22"/>
    </row>
    <row r="48" customFormat="false" ht="15.65" hidden="false" customHeight="false" outlineLevel="0" collapsed="false">
      <c r="A48" s="21" t="s">
        <v>94</v>
      </c>
      <c r="B48" s="20" t="n">
        <v>5</v>
      </c>
      <c r="C48" s="9" t="s">
        <v>14</v>
      </c>
      <c r="D48" s="36" t="s">
        <v>57</v>
      </c>
      <c r="E48" s="33" t="s">
        <v>86</v>
      </c>
      <c r="F48" s="20"/>
      <c r="G48" s="20"/>
      <c r="H48" s="20"/>
      <c r="I48" s="20"/>
      <c r="J48" s="20"/>
      <c r="K48" s="20"/>
      <c r="L48" s="20"/>
      <c r="M48" s="22"/>
    </row>
    <row r="49" customFormat="false" ht="15.65" hidden="false" customHeight="false" outlineLevel="0" collapsed="false">
      <c r="A49" s="21" t="s">
        <v>95</v>
      </c>
      <c r="B49" s="20" t="n">
        <v>2</v>
      </c>
      <c r="C49" s="9" t="s">
        <v>14</v>
      </c>
      <c r="D49" s="36" t="s">
        <v>57</v>
      </c>
      <c r="E49" s="33" t="s">
        <v>86</v>
      </c>
      <c r="F49" s="20"/>
      <c r="G49" s="20"/>
      <c r="H49" s="20"/>
      <c r="I49" s="20"/>
      <c r="J49" s="20"/>
      <c r="K49" s="20"/>
      <c r="L49" s="20"/>
      <c r="M49" s="22"/>
    </row>
    <row r="50" customFormat="false" ht="15.65" hidden="false" customHeight="false" outlineLevel="0" collapsed="false">
      <c r="A50" s="21" t="s">
        <v>96</v>
      </c>
      <c r="B50" s="20" t="n">
        <v>2</v>
      </c>
      <c r="C50" s="9" t="s">
        <v>14</v>
      </c>
      <c r="D50" s="36" t="s">
        <v>57</v>
      </c>
      <c r="E50" s="33" t="s">
        <v>20</v>
      </c>
      <c r="F50" s="20"/>
      <c r="G50" s="20"/>
      <c r="H50" s="20"/>
      <c r="I50" s="20"/>
      <c r="J50" s="20"/>
      <c r="K50" s="20"/>
      <c r="L50" s="20"/>
      <c r="M50" s="22"/>
    </row>
    <row r="51" customFormat="false" ht="15.65" hidden="false" customHeight="false" outlineLevel="0" collapsed="false">
      <c r="A51" s="24" t="s">
        <v>97</v>
      </c>
      <c r="B51" s="39" t="n">
        <v>2</v>
      </c>
      <c r="C51" s="9" t="s">
        <v>14</v>
      </c>
      <c r="D51" s="36" t="s">
        <v>57</v>
      </c>
      <c r="E51" s="40" t="s">
        <v>98</v>
      </c>
      <c r="F51" s="39"/>
      <c r="G51" s="39"/>
      <c r="H51" s="39"/>
      <c r="I51" s="39"/>
      <c r="J51" s="39"/>
      <c r="K51" s="39"/>
      <c r="L51" s="39"/>
      <c r="M51" s="25"/>
    </row>
    <row r="52" customFormat="false" ht="15.65" hidden="false" customHeight="false" outlineLevel="0" collapsed="false">
      <c r="A52" s="18" t="s">
        <v>99</v>
      </c>
      <c r="B52" s="31" t="n">
        <v>20</v>
      </c>
      <c r="C52" s="9" t="s">
        <v>14</v>
      </c>
      <c r="D52" s="9" t="s">
        <v>46</v>
      </c>
      <c r="E52" s="32" t="s">
        <v>100</v>
      </c>
      <c r="F52" s="31"/>
      <c r="G52" s="31"/>
      <c r="H52" s="31"/>
      <c r="I52" s="31"/>
      <c r="J52" s="31"/>
      <c r="K52" s="31"/>
      <c r="L52" s="31"/>
      <c r="M52" s="19"/>
    </row>
    <row r="53" customFormat="false" ht="14.25" hidden="false" customHeight="false" outlineLevel="0" collapsed="false">
      <c r="A53" s="2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2"/>
    </row>
    <row r="54" customFormat="false" ht="14.25" hidden="false" customHeight="false" outlineLevel="0" collapsed="false">
      <c r="A54" s="2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/>
    </row>
    <row r="55" customFormat="false" ht="14.25" hidden="false" customHeight="false" outlineLevel="0" collapsed="false">
      <c r="A55" s="45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6"/>
    </row>
    <row r="56" customFormat="false" ht="14.25" hidden="false" customHeight="false" outlineLevel="0" collapsed="false">
      <c r="A56" s="36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37"/>
    </row>
    <row r="57" customFormat="false" ht="14.25" hidden="false" customHeight="false" outlineLevel="0" collapsed="false">
      <c r="A57" s="36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37"/>
    </row>
    <row r="58" customFormat="false" ht="14.25" hidden="false" customHeight="false" outlineLevel="0" collapsed="false">
      <c r="A58" s="36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37"/>
    </row>
    <row r="59" customFormat="false" ht="14.25" hidden="false" customHeight="false" outlineLevel="0" collapsed="false">
      <c r="A59" s="36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37"/>
    </row>
    <row r="60" customFormat="false" ht="14.25" hidden="false" customHeight="false" outlineLevel="0" collapsed="false">
      <c r="A60" s="36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37"/>
    </row>
    <row r="61" customFormat="false" ht="14.25" hidden="false" customHeight="false" outlineLevel="0" collapsed="false">
      <c r="A61" s="36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37"/>
    </row>
    <row r="62" customFormat="false" ht="14.25" hidden="false" customHeight="false" outlineLevel="0" collapsed="false">
      <c r="A62" s="47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48"/>
    </row>
    <row r="63" customFormat="false" ht="14.25" hidden="false" customHeight="false" outlineLevel="0" collapsed="false">
      <c r="A63" s="3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37"/>
    </row>
    <row r="64" customFormat="false" ht="14.25" hidden="false" customHeight="false" outlineLevel="0" collapsed="false">
      <c r="A64" s="36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37"/>
    </row>
    <row r="65" customFormat="false" ht="14.25" hidden="false" customHeight="false" outlineLevel="0" collapsed="false">
      <c r="A65" s="36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37"/>
    </row>
    <row r="66" customFormat="false" ht="14.25" hidden="false" customHeight="false" outlineLevel="0" collapsed="false">
      <c r="A66" s="49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50"/>
    </row>
    <row r="67" customFormat="false" ht="14.25" hidden="false" customHeight="false" outlineLevel="0" collapsed="false">
      <c r="A67" s="36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37"/>
    </row>
    <row r="68" customFormat="false" ht="14.25" hidden="false" customHeight="false" outlineLevel="0" collapsed="false">
      <c r="A68" s="36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37"/>
    </row>
    <row r="69" customFormat="false" ht="14.25" hidden="false" customHeight="false" outlineLevel="0" collapsed="false">
      <c r="A69" s="36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37"/>
    </row>
    <row r="70" customFormat="false" ht="14.25" hidden="false" customHeight="false" outlineLevel="0" collapsed="false">
      <c r="A70" s="47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48"/>
    </row>
    <row r="71" customFormat="false" ht="14.25" hidden="false" customHeight="false" outlineLevel="0" collapsed="false">
      <c r="A71" s="36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37"/>
    </row>
    <row r="72" customFormat="false" ht="14.25" hidden="false" customHeight="false" outlineLevel="0" collapsed="false">
      <c r="A72" s="36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37"/>
    </row>
    <row r="73" customFormat="false" ht="14.25" hidden="false" customHeight="false" outlineLevel="0" collapsed="false">
      <c r="A73" s="36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37"/>
    </row>
    <row r="74" customFormat="false" ht="14.25" hidden="false" customHeight="false" outlineLevel="0" collapsed="false">
      <c r="A74" s="49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50"/>
    </row>
    <row r="75" customFormat="false" ht="14.25" hidden="false" customHeight="false" outlineLevel="0" collapsed="false">
      <c r="A75" s="36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37"/>
    </row>
    <row r="76" customFormat="false" ht="14.25" hidden="false" customHeight="false" outlineLevel="0" collapsed="false">
      <c r="A76" s="36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37"/>
    </row>
    <row r="77" customFormat="false" ht="14.25" hidden="false" customHeight="false" outlineLevel="0" collapsed="false">
      <c r="A77" s="36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37"/>
    </row>
    <row r="78" customFormat="false" ht="14.25" hidden="false" customHeight="false" outlineLevel="0" collapsed="false">
      <c r="A78" s="3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37"/>
    </row>
    <row r="79" customFormat="false" ht="14.25" hidden="false" customHeight="false" outlineLevel="0" collapsed="false">
      <c r="A79" s="36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37"/>
    </row>
    <row r="80" customFormat="false" ht="14.25" hidden="false" customHeight="false" outlineLevel="0" collapsed="false">
      <c r="A80" s="36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37"/>
    </row>
    <row r="81" customFormat="false" ht="14.25" hidden="false" customHeight="false" outlineLevel="0" collapsed="false">
      <c r="A81" s="36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37"/>
    </row>
    <row r="82" customFormat="false" ht="14.25" hidden="false" customHeight="false" outlineLevel="0" collapsed="false">
      <c r="A82" s="36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37"/>
    </row>
    <row r="83" customFormat="false" ht="14.25" hidden="false" customHeight="false" outlineLevel="0" collapsed="false">
      <c r="A83" s="36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37"/>
    </row>
    <row r="84" customFormat="false" ht="14.25" hidden="false" customHeight="false" outlineLevel="0" collapsed="false">
      <c r="A84" s="36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37"/>
    </row>
    <row r="85" customFormat="false" ht="14.25" hidden="false" customHeight="false" outlineLevel="0" collapsed="false">
      <c r="A85" s="36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37"/>
    </row>
    <row r="86" customFormat="false" ht="14.25" hidden="false" customHeight="false" outlineLevel="0" collapsed="false">
      <c r="A86" s="36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37"/>
    </row>
    <row r="87" customFormat="false" ht="14.25" hidden="false" customHeight="false" outlineLevel="0" collapsed="false">
      <c r="A87" s="36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37"/>
    </row>
    <row r="88" customFormat="false" ht="14.25" hidden="false" customHeight="false" outlineLevel="0" collapsed="false">
      <c r="A88" s="36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37"/>
    </row>
    <row r="89" customFormat="false" ht="14.25" hidden="false" customHeight="false" outlineLevel="0" collapsed="false">
      <c r="A89" s="36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37"/>
    </row>
    <row r="90" customFormat="false" ht="14.25" hidden="false" customHeight="false" outlineLevel="0" collapsed="false">
      <c r="A90" s="36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37"/>
    </row>
    <row r="91" customFormat="false" ht="14.25" hidden="false" customHeight="false" outlineLevel="0" collapsed="false">
      <c r="A91" s="36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37"/>
    </row>
    <row r="92" customFormat="false" ht="14.25" hidden="false" customHeight="false" outlineLevel="0" collapsed="false">
      <c r="A92" s="36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37"/>
    </row>
    <row r="93" customFormat="false" ht="14.25" hidden="false" customHeight="false" outlineLevel="0" collapsed="false">
      <c r="A93" s="36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37"/>
    </row>
    <row r="94" customFormat="false" ht="14.25" hidden="false" customHeight="false" outlineLevel="0" collapsed="false">
      <c r="A94" s="36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37"/>
    </row>
    <row r="95" customFormat="false" ht="14.25" hidden="false" customHeight="false" outlineLevel="0" collapsed="false">
      <c r="A95" s="36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37"/>
    </row>
    <row r="96" customFormat="false" ht="14.25" hidden="false" customHeight="false" outlineLevel="0" collapsed="false">
      <c r="A96" s="36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37"/>
    </row>
    <row r="97" customFormat="false" ht="14.25" hidden="false" customHeight="false" outlineLevel="0" collapsed="false">
      <c r="A97" s="36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37"/>
    </row>
    <row r="98" customFormat="false" ht="14.25" hidden="false" customHeight="false" outlineLevel="0" collapsed="false">
      <c r="A98" s="47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48"/>
    </row>
    <row r="99" customFormat="false" ht="14.25" hidden="false" customHeight="false" outlineLevel="0" collapsed="false">
      <c r="A99" s="36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37"/>
    </row>
    <row r="100" customFormat="false" ht="14.25" hidden="false" customHeight="false" outlineLevel="0" collapsed="false">
      <c r="A100" s="36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37"/>
    </row>
    <row r="101" customFormat="false" ht="14.25" hidden="false" customHeight="false" outlineLevel="0" collapsed="false">
      <c r="A101" s="36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37"/>
    </row>
    <row r="102" customFormat="false" ht="14.25" hidden="false" customHeight="false" outlineLevel="0" collapsed="false">
      <c r="A102" s="49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50"/>
    </row>
    <row r="103" customFormat="false" ht="14.25" hidden="false" customHeight="false" outlineLevel="0" collapsed="false">
      <c r="A103" s="36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37"/>
    </row>
    <row r="104" customFormat="false" ht="14.25" hidden="false" customHeight="false" outlineLevel="0" collapsed="false">
      <c r="A104" s="36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37"/>
    </row>
    <row r="105" customFormat="false" ht="14.25" hidden="false" customHeight="false" outlineLevel="0" collapsed="false">
      <c r="A105" s="36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37"/>
    </row>
    <row r="106" customFormat="false" ht="14.25" hidden="false" customHeight="false" outlineLevel="0" collapsed="false">
      <c r="A106" s="36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37"/>
    </row>
    <row r="107" customFormat="false" ht="14.25" hidden="false" customHeight="false" outlineLevel="0" collapsed="false">
      <c r="A107" s="47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48"/>
    </row>
    <row r="108" customFormat="false" ht="14.25" hidden="false" customHeight="false" outlineLevel="0" collapsed="false">
      <c r="A108" s="36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37"/>
    </row>
    <row r="109" customFormat="false" ht="14.25" hidden="false" customHeight="false" outlineLevel="0" collapsed="false">
      <c r="A109" s="36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37"/>
    </row>
    <row r="110" s="54" customFormat="true" ht="14.25" hidden="false" customHeight="false" outlineLevel="0" collapsed="false">
      <c r="A110" s="5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3"/>
      <c r="Q110" s="55"/>
      <c r="R110" s="55"/>
    </row>
    <row r="111" customFormat="false" ht="14.25" hidden="false" customHeight="false" outlineLevel="0" collapsed="false">
      <c r="A111" s="49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50"/>
    </row>
    <row r="112" customFormat="false" ht="14.25" hidden="false" customHeight="false" outlineLevel="0" collapsed="false">
      <c r="A112" s="36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37"/>
    </row>
    <row r="113" customFormat="false" ht="9.75" hidden="false" customHeight="true" outlineLevel="0" collapsed="false">
      <c r="A113" s="36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37"/>
    </row>
    <row r="114" customFormat="false" ht="14.25" hidden="false" customHeight="false" outlineLevel="0" collapsed="false">
      <c r="A114" s="36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37"/>
    </row>
    <row r="115" customFormat="false" ht="14.25" hidden="false" customHeight="false" outlineLevel="0" collapsed="false">
      <c r="A115" s="36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37"/>
    </row>
    <row r="116" customFormat="false" ht="14.25" hidden="false" customHeight="false" outlineLevel="0" collapsed="false">
      <c r="A116" s="36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37"/>
    </row>
    <row r="117" customFormat="false" ht="14.25" hidden="false" customHeight="false" outlineLevel="0" collapsed="false">
      <c r="A117" s="36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37"/>
    </row>
    <row r="118" customFormat="false" ht="14.25" hidden="false" customHeight="false" outlineLevel="0" collapsed="false">
      <c r="A118" s="36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37"/>
    </row>
    <row r="119" customFormat="false" ht="14.25" hidden="false" customHeight="false" outlineLevel="0" collapsed="false">
      <c r="A119" s="36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37"/>
    </row>
    <row r="120" customFormat="false" ht="14.25" hidden="false" customHeight="false" outlineLevel="0" collapsed="false">
      <c r="A120" s="36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37"/>
    </row>
    <row r="121" customFormat="false" ht="14.25" hidden="false" customHeight="false" outlineLevel="0" collapsed="false">
      <c r="A121" s="36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37"/>
    </row>
    <row r="122" customFormat="false" ht="14.25" hidden="false" customHeight="false" outlineLevel="0" collapsed="false">
      <c r="A122" s="36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37"/>
    </row>
    <row r="123" customFormat="false" ht="14.25" hidden="false" customHeight="false" outlineLevel="0" collapsed="false">
      <c r="A123" s="36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37"/>
    </row>
    <row r="124" customFormat="false" ht="14.25" hidden="false" customHeight="false" outlineLevel="0" collapsed="false">
      <c r="A124" s="36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37"/>
    </row>
    <row r="125" customFormat="false" ht="14.25" hidden="false" customHeight="false" outlineLevel="0" collapsed="false">
      <c r="A125" s="36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37"/>
    </row>
    <row r="126" customFormat="false" ht="14.25" hidden="false" customHeight="false" outlineLevel="0" collapsed="false">
      <c r="A126" s="36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37"/>
    </row>
    <row r="127" customFormat="false" ht="14.25" hidden="false" customHeight="false" outlineLevel="0" collapsed="false">
      <c r="A127" s="36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37"/>
    </row>
    <row r="128" customFormat="false" ht="14.25" hidden="false" customHeight="false" outlineLevel="0" collapsed="false">
      <c r="A128" s="36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37"/>
    </row>
    <row r="129" customFormat="false" ht="14.25" hidden="false" customHeight="false" outlineLevel="0" collapsed="false">
      <c r="A129" s="36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37"/>
    </row>
    <row r="130" customFormat="false" ht="14.25" hidden="false" customHeight="false" outlineLevel="0" collapsed="false">
      <c r="A130" s="36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37"/>
    </row>
    <row r="131" customFormat="false" ht="14.25" hidden="false" customHeight="false" outlineLevel="0" collapsed="false">
      <c r="A131" s="36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37"/>
    </row>
    <row r="132" customFormat="false" ht="14.25" hidden="false" customHeight="false" outlineLevel="0" collapsed="false">
      <c r="A132" s="36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37"/>
    </row>
    <row r="133" customFormat="false" ht="14.25" hidden="false" customHeight="false" outlineLevel="0" collapsed="false">
      <c r="A133" s="36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37"/>
    </row>
    <row r="134" customFormat="false" ht="14.25" hidden="false" customHeight="false" outlineLevel="0" collapsed="false">
      <c r="A134" s="36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37"/>
    </row>
    <row r="135" customFormat="false" ht="14.25" hidden="false" customHeight="false" outlineLevel="0" collapsed="false">
      <c r="A135" s="36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37"/>
    </row>
    <row r="136" customFormat="false" ht="14.25" hidden="false" customHeight="false" outlineLevel="0" collapsed="false">
      <c r="A136" s="36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37"/>
    </row>
    <row r="137" customFormat="false" ht="14.25" hidden="false" customHeight="false" outlineLevel="0" collapsed="false">
      <c r="A137" s="47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48"/>
    </row>
    <row r="138" customFormat="false" ht="14.25" hidden="false" customHeight="false" outlineLevel="0" collapsed="false">
      <c r="A138" s="56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37"/>
    </row>
    <row r="139" customFormat="false" ht="14.25" hidden="false" customHeight="false" outlineLevel="0" collapsed="false">
      <c r="A139" s="36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37"/>
    </row>
    <row r="140" customFormat="false" ht="14.25" hidden="false" customHeight="false" outlineLevel="0" collapsed="false">
      <c r="A140" s="36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37"/>
    </row>
    <row r="141" customFormat="false" ht="14.25" hidden="false" customHeight="false" outlineLevel="0" collapsed="false">
      <c r="A141" s="49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50"/>
    </row>
    <row r="142" customFormat="false" ht="14.25" hidden="false" customHeight="false" outlineLevel="0" collapsed="false">
      <c r="A142" s="36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37"/>
    </row>
    <row r="143" customFormat="false" ht="14.25" hidden="false" customHeight="false" outlineLevel="0" collapsed="false">
      <c r="A143" s="36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37"/>
    </row>
    <row r="144" customFormat="false" ht="14.25" hidden="false" customHeight="false" outlineLevel="0" collapsed="false">
      <c r="A144" s="36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37"/>
    </row>
    <row r="145" customFormat="false" ht="14.25" hidden="false" customHeight="false" outlineLevel="0" collapsed="false">
      <c r="A145" s="36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37"/>
    </row>
    <row r="146" customFormat="false" ht="14.25" hidden="false" customHeight="false" outlineLevel="0" collapsed="false">
      <c r="A146" s="4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48"/>
    </row>
    <row r="147" customFormat="false" ht="14.25" hidden="false" customHeight="false" outlineLevel="0" collapsed="false">
      <c r="A147" s="36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37"/>
    </row>
    <row r="148" customFormat="false" ht="14.25" hidden="false" customHeight="false" outlineLevel="0" collapsed="false">
      <c r="A148" s="36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37"/>
    </row>
    <row r="149" customFormat="false" ht="14.25" hidden="false" customHeight="false" outlineLevel="0" collapsed="false">
      <c r="A149" s="36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37"/>
    </row>
    <row r="150" customFormat="false" ht="14.25" hidden="false" customHeight="false" outlineLevel="0" collapsed="false">
      <c r="A150" s="57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50"/>
    </row>
    <row r="151" customFormat="false" ht="14.25" hidden="false" customHeight="false" outlineLevel="0" collapsed="false">
      <c r="A151" s="36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37"/>
    </row>
    <row r="152" customFormat="false" ht="14.25" hidden="false" customHeight="false" outlineLevel="0" collapsed="false">
      <c r="A152" s="36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37"/>
    </row>
    <row r="153" customFormat="false" ht="14.25" hidden="false" customHeight="false" outlineLevel="0" collapsed="false">
      <c r="A153" s="36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37"/>
    </row>
    <row r="154" customFormat="false" ht="14.25" hidden="false" customHeight="false" outlineLevel="0" collapsed="false">
      <c r="A154" s="36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37"/>
    </row>
    <row r="155" customFormat="false" ht="14.25" hidden="false" customHeight="false" outlineLevel="0" collapsed="false">
      <c r="A155" s="36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37"/>
    </row>
    <row r="156" customFormat="false" ht="14.25" hidden="false" customHeight="false" outlineLevel="0" collapsed="false">
      <c r="A156" s="36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37"/>
    </row>
    <row r="157" customFormat="false" ht="14.25" hidden="false" customHeight="false" outlineLevel="0" collapsed="false">
      <c r="A157" s="36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37"/>
    </row>
    <row r="158" customFormat="false" ht="14.25" hidden="false" customHeight="false" outlineLevel="0" collapsed="false">
      <c r="A158" s="36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37"/>
    </row>
    <row r="159" customFormat="false" ht="14.25" hidden="false" customHeight="false" outlineLevel="0" collapsed="false">
      <c r="A159" s="36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37"/>
    </row>
    <row r="160" customFormat="false" ht="14.25" hidden="false" customHeight="false" outlineLevel="0" collapsed="false">
      <c r="A160" s="56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37"/>
    </row>
    <row r="161" customFormat="false" ht="14.25" hidden="false" customHeight="false" outlineLevel="0" collapsed="false">
      <c r="A161" s="36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37"/>
    </row>
    <row r="162" customFormat="false" ht="14.25" hidden="false" customHeight="false" outlineLevel="0" collapsed="false">
      <c r="A162" s="36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37"/>
    </row>
    <row r="163" customFormat="false" ht="14.25" hidden="false" customHeight="false" outlineLevel="0" collapsed="false">
      <c r="A163" s="36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37"/>
    </row>
    <row r="164" customFormat="false" ht="14.25" hidden="false" customHeight="false" outlineLevel="0" collapsed="false">
      <c r="A164" s="36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37"/>
    </row>
    <row r="165" customFormat="false" ht="14.25" hidden="false" customHeight="false" outlineLevel="0" collapsed="false">
      <c r="A165" s="36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37"/>
    </row>
    <row r="166" customFormat="false" ht="14.25" hidden="false" customHeight="false" outlineLevel="0" collapsed="false">
      <c r="A166" s="36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37"/>
    </row>
    <row r="167" customFormat="false" ht="14.25" hidden="false" customHeight="false" outlineLevel="0" collapsed="false">
      <c r="A167" s="36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37"/>
    </row>
    <row r="168" customFormat="false" ht="14.25" hidden="false" customHeight="false" outlineLevel="0" collapsed="false">
      <c r="A168" s="36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37"/>
    </row>
    <row r="169" customFormat="false" ht="14.25" hidden="false" customHeight="false" outlineLevel="0" collapsed="false">
      <c r="A169" s="36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37"/>
    </row>
    <row r="170" customFormat="false" ht="14.25" hidden="false" customHeight="false" outlineLevel="0" collapsed="false">
      <c r="A170" s="56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37"/>
    </row>
    <row r="171" customFormat="false" ht="14.25" hidden="false" customHeight="false" outlineLevel="0" collapsed="false">
      <c r="A171" s="36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37"/>
    </row>
    <row r="172" customFormat="false" ht="14.25" hidden="false" customHeight="false" outlineLevel="0" collapsed="false">
      <c r="A172" s="36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37"/>
    </row>
    <row r="173" customFormat="false" ht="14.25" hidden="false" customHeight="false" outlineLevel="0" collapsed="false">
      <c r="A173" s="36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37"/>
    </row>
    <row r="174" customFormat="false" ht="14.25" hidden="false" customHeight="false" outlineLevel="0" collapsed="false">
      <c r="A174" s="47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48"/>
    </row>
    <row r="175" customFormat="false" ht="14.25" hidden="false" customHeight="false" outlineLevel="0" collapsed="false">
      <c r="A175" s="36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37"/>
    </row>
    <row r="176" customFormat="false" ht="14.25" hidden="false" customHeight="false" outlineLevel="0" collapsed="false">
      <c r="A176" s="56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37"/>
    </row>
    <row r="177" customFormat="false" ht="14.25" hidden="false" customHeight="false" outlineLevel="0" collapsed="false">
      <c r="A177" s="56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37"/>
    </row>
    <row r="178" customFormat="false" ht="14.25" hidden="false" customHeight="false" outlineLevel="0" collapsed="false">
      <c r="A178" s="49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50"/>
    </row>
    <row r="179" customFormat="false" ht="14.25" hidden="false" customHeight="false" outlineLevel="0" collapsed="false">
      <c r="A179" s="36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37"/>
    </row>
    <row r="180" customFormat="false" ht="14.25" hidden="false" customHeight="false" outlineLevel="0" collapsed="false">
      <c r="A180" s="36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37"/>
    </row>
    <row r="181" customFormat="false" ht="14.25" hidden="false" customHeight="false" outlineLevel="0" collapsed="false">
      <c r="A181" s="36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37"/>
    </row>
    <row r="182" customFormat="false" ht="14.25" hidden="false" customHeight="false" outlineLevel="0" collapsed="false">
      <c r="A182" s="36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37"/>
    </row>
    <row r="183" customFormat="false" ht="14.25" hidden="false" customHeight="false" outlineLevel="0" collapsed="false">
      <c r="A183" s="47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48"/>
    </row>
    <row r="184" customFormat="false" ht="14.25" hidden="false" customHeight="false" outlineLevel="0" collapsed="false">
      <c r="A184" s="36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37"/>
    </row>
    <row r="185" customFormat="false" ht="14.25" hidden="false" customHeight="false" outlineLevel="0" collapsed="false">
      <c r="A185" s="36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37"/>
    </row>
    <row r="186" customFormat="false" ht="14.25" hidden="false" customHeight="false" outlineLevel="0" collapsed="false">
      <c r="A186" s="36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37"/>
    </row>
    <row r="187" customFormat="false" ht="14.25" hidden="false" customHeight="false" outlineLevel="0" collapsed="false">
      <c r="A187" s="49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50"/>
    </row>
    <row r="188" customFormat="false" ht="14.25" hidden="false" customHeight="false" outlineLevel="0" collapsed="false">
      <c r="A188" s="36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37"/>
    </row>
    <row r="189" customFormat="false" ht="14.25" hidden="false" customHeight="false" outlineLevel="0" collapsed="false">
      <c r="A189" s="36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37"/>
    </row>
    <row r="190" customFormat="false" ht="14.25" hidden="false" customHeight="false" outlineLevel="0" collapsed="false">
      <c r="A190" s="36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37"/>
    </row>
    <row r="191" customFormat="false" ht="14.25" hidden="false" customHeight="false" outlineLevel="0" collapsed="false">
      <c r="A191" s="36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37"/>
    </row>
    <row r="192" customFormat="false" ht="14.25" hidden="false" customHeight="false" outlineLevel="0" collapsed="false">
      <c r="A192" s="36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37"/>
    </row>
    <row r="193" customFormat="false" ht="14.25" hidden="false" customHeight="false" outlineLevel="0" collapsed="false">
      <c r="A193" s="36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37"/>
    </row>
    <row r="194" customFormat="false" ht="14.25" hidden="false" customHeight="false" outlineLevel="0" collapsed="false">
      <c r="A194" s="36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37"/>
    </row>
    <row r="195" customFormat="false" ht="14.25" hidden="false" customHeight="false" outlineLevel="0" collapsed="false">
      <c r="A195" s="36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37"/>
    </row>
    <row r="196" customFormat="false" ht="14.25" hidden="false" customHeight="false" outlineLevel="0" collapsed="false">
      <c r="A196" s="36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37"/>
    </row>
    <row r="197" customFormat="false" ht="14.25" hidden="false" customHeight="false" outlineLevel="0" collapsed="false">
      <c r="A197" s="36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37"/>
    </row>
    <row r="198" customFormat="false" ht="14.25" hidden="false" customHeight="false" outlineLevel="0" collapsed="false">
      <c r="A198" s="36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37"/>
    </row>
    <row r="199" customFormat="false" ht="14.25" hidden="false" customHeight="false" outlineLevel="0" collapsed="false">
      <c r="A199" s="36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37"/>
    </row>
    <row r="200" customFormat="false" ht="14.25" hidden="false" customHeight="false" outlineLevel="0" collapsed="false">
      <c r="A200" s="36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37"/>
    </row>
    <row r="201" customFormat="false" ht="14.25" hidden="false" customHeight="false" outlineLevel="0" collapsed="false">
      <c r="A201" s="36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37"/>
    </row>
    <row r="202" customFormat="false" ht="14.25" hidden="false" customHeight="false" outlineLevel="0" collapsed="false">
      <c r="A202" s="36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37"/>
    </row>
    <row r="203" customFormat="false" ht="14.25" hidden="false" customHeight="false" outlineLevel="0" collapsed="false">
      <c r="A203" s="36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37"/>
    </row>
    <row r="204" customFormat="false" ht="14.25" hidden="false" customHeight="false" outlineLevel="0" collapsed="false">
      <c r="A204" s="36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37"/>
    </row>
    <row r="205" customFormat="false" ht="14.25" hidden="false" customHeight="false" outlineLevel="0" collapsed="false">
      <c r="A205" s="36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37"/>
    </row>
    <row r="206" customFormat="false" ht="14.25" hidden="false" customHeight="false" outlineLevel="0" collapsed="false">
      <c r="A206" s="36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37"/>
    </row>
    <row r="207" customFormat="false" ht="14.25" hidden="false" customHeight="false" outlineLevel="0" collapsed="false">
      <c r="A207" s="36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37"/>
    </row>
    <row r="208" customFormat="false" ht="14.25" hidden="false" customHeight="false" outlineLevel="0" collapsed="false">
      <c r="A208" s="36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37"/>
    </row>
    <row r="209" customFormat="false" ht="14.25" hidden="false" customHeight="false" outlineLevel="0" collapsed="false">
      <c r="A209" s="36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37"/>
    </row>
    <row r="210" customFormat="false" ht="14.25" hidden="false" customHeight="false" outlineLevel="0" collapsed="false">
      <c r="A210" s="36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37"/>
    </row>
    <row r="211" customFormat="false" ht="14.25" hidden="false" customHeight="false" outlineLevel="0" collapsed="false">
      <c r="A211" s="47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48"/>
    </row>
    <row r="212" customFormat="false" ht="14.25" hidden="false" customHeight="false" outlineLevel="0" collapsed="false">
      <c r="A212" s="36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37"/>
    </row>
    <row r="213" customFormat="false" ht="14.25" hidden="false" customHeight="false" outlineLevel="0" collapsed="false">
      <c r="A213" s="36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37"/>
    </row>
    <row r="214" customFormat="false" ht="14.25" hidden="false" customHeight="false" outlineLevel="0" collapsed="false">
      <c r="A214" s="36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37"/>
    </row>
    <row r="215" customFormat="false" ht="14.25" hidden="false" customHeight="false" outlineLevel="0" collapsed="false">
      <c r="A215" s="49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50"/>
    </row>
    <row r="216" customFormat="false" ht="14.25" hidden="false" customHeight="false" outlineLevel="0" collapsed="false">
      <c r="A216" s="36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37"/>
    </row>
    <row r="217" customFormat="false" ht="14.25" hidden="false" customHeight="false" outlineLevel="0" collapsed="false">
      <c r="A217" s="36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37"/>
    </row>
    <row r="218" customFormat="false" ht="14.25" hidden="false" customHeight="false" outlineLevel="0" collapsed="false">
      <c r="A218" s="36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37"/>
    </row>
    <row r="219" customFormat="false" ht="14.25" hidden="false" customHeight="false" outlineLevel="0" collapsed="false">
      <c r="A219" s="36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37"/>
    </row>
    <row r="220" customFormat="false" ht="14.25" hidden="false" customHeight="false" outlineLevel="0" collapsed="false">
      <c r="A220" s="47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48"/>
    </row>
    <row r="221" customFormat="false" ht="14.25" hidden="false" customHeight="false" outlineLevel="0" collapsed="false">
      <c r="A221" s="36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37"/>
    </row>
    <row r="222" customFormat="false" ht="14.25" hidden="false" customHeight="false" outlineLevel="0" collapsed="false">
      <c r="A222" s="36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37"/>
    </row>
    <row r="223" customFormat="false" ht="14.25" hidden="false" customHeight="false" outlineLevel="0" collapsed="false">
      <c r="A223" s="36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37"/>
    </row>
    <row r="224" customFormat="false" ht="14.25" hidden="false" customHeight="false" outlineLevel="0" collapsed="false">
      <c r="A224" s="49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50"/>
    </row>
    <row r="225" customFormat="false" ht="14.25" hidden="false" customHeight="false" outlineLevel="0" collapsed="false">
      <c r="A225" s="36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37"/>
    </row>
    <row r="226" customFormat="false" ht="14.25" hidden="false" customHeight="false" outlineLevel="0" collapsed="false">
      <c r="A226" s="36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37"/>
    </row>
    <row r="227" customFormat="false" ht="14.25" hidden="false" customHeight="false" outlineLevel="0" collapsed="false">
      <c r="A227" s="36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37"/>
    </row>
    <row r="228" customFormat="false" ht="14.25" hidden="false" customHeight="false" outlineLevel="0" collapsed="false">
      <c r="A228" s="36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37"/>
    </row>
    <row r="229" customFormat="false" ht="14.25" hidden="false" customHeight="false" outlineLevel="0" collapsed="false">
      <c r="A229" s="36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37"/>
    </row>
    <row r="230" customFormat="false" ht="14.25" hidden="false" customHeight="false" outlineLevel="0" collapsed="false">
      <c r="A230" s="36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37"/>
    </row>
    <row r="231" customFormat="false" ht="14.25" hidden="false" customHeight="false" outlineLevel="0" collapsed="false">
      <c r="A231" s="36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37"/>
    </row>
    <row r="232" customFormat="false" ht="14.25" hidden="false" customHeight="false" outlineLevel="0" collapsed="false">
      <c r="A232" s="36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37"/>
    </row>
    <row r="233" customFormat="false" ht="14.25" hidden="false" customHeight="false" outlineLevel="0" collapsed="false">
      <c r="A233" s="36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37"/>
    </row>
    <row r="234" customFormat="false" ht="14.25" hidden="false" customHeight="false" outlineLevel="0" collapsed="false">
      <c r="A234" s="36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37"/>
    </row>
    <row r="235" customFormat="false" ht="14.25" hidden="false" customHeight="false" outlineLevel="0" collapsed="false">
      <c r="A235" s="36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37"/>
    </row>
    <row r="236" customFormat="false" ht="14.25" hidden="false" customHeight="false" outlineLevel="0" collapsed="false">
      <c r="A236" s="36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37"/>
    </row>
    <row r="237" customFormat="false" ht="14.25" hidden="false" customHeight="false" outlineLevel="0" collapsed="false">
      <c r="A237" s="36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37"/>
    </row>
    <row r="238" customFormat="false" ht="14.25" hidden="false" customHeight="false" outlineLevel="0" collapsed="false">
      <c r="A238" s="36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37"/>
    </row>
    <row r="239" customFormat="false" ht="14.25" hidden="false" customHeight="false" outlineLevel="0" collapsed="false">
      <c r="A239" s="36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37"/>
    </row>
    <row r="240" customFormat="false" ht="14.25" hidden="false" customHeight="false" outlineLevel="0" collapsed="false">
      <c r="A240" s="36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37"/>
    </row>
    <row r="241" customFormat="false" ht="14.25" hidden="false" customHeight="false" outlineLevel="0" collapsed="false">
      <c r="A241" s="36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37"/>
    </row>
    <row r="242" customFormat="false" ht="14.25" hidden="false" customHeight="false" outlineLevel="0" collapsed="false">
      <c r="A242" s="36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37"/>
    </row>
    <row r="243" customFormat="false" ht="14.25" hidden="false" customHeight="false" outlineLevel="0" collapsed="false">
      <c r="A243" s="36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37"/>
    </row>
    <row r="244" customFormat="false" ht="14.25" hidden="false" customHeight="false" outlineLevel="0" collapsed="false">
      <c r="A244" s="36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37"/>
    </row>
    <row r="245" customFormat="false" ht="14.25" hidden="false" customHeight="false" outlineLevel="0" collapsed="false">
      <c r="A245" s="36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37"/>
    </row>
    <row r="246" customFormat="false" ht="14.25" hidden="false" customHeight="false" outlineLevel="0" collapsed="false">
      <c r="A246" s="36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37"/>
    </row>
    <row r="247" customFormat="false" ht="14.25" hidden="false" customHeight="false" outlineLevel="0" collapsed="false">
      <c r="A247" s="36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37"/>
    </row>
    <row r="248" customFormat="false" ht="14.25" hidden="false" customHeight="false" outlineLevel="0" collapsed="false">
      <c r="A248" s="47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48"/>
    </row>
    <row r="249" customFormat="false" ht="14.25" hidden="false" customHeight="false" outlineLevel="0" collapsed="false">
      <c r="A249" s="36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37"/>
    </row>
    <row r="250" customFormat="false" ht="14.25" hidden="false" customHeight="false" outlineLevel="0" collapsed="false">
      <c r="A250" s="36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37"/>
    </row>
    <row r="251" customFormat="false" ht="14.25" hidden="false" customHeight="false" outlineLevel="0" collapsed="false">
      <c r="A251" s="36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37"/>
    </row>
    <row r="252" customFormat="false" ht="14.25" hidden="false" customHeight="false" outlineLevel="0" collapsed="false">
      <c r="A252" s="49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50"/>
    </row>
    <row r="253" customFormat="false" ht="14.25" hidden="false" customHeight="false" outlineLevel="0" collapsed="false">
      <c r="A253" s="36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37"/>
    </row>
    <row r="254" customFormat="false" ht="14.25" hidden="false" customHeight="false" outlineLevel="0" collapsed="false">
      <c r="A254" s="36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37"/>
    </row>
    <row r="255" customFormat="false" ht="14.25" hidden="false" customHeight="false" outlineLevel="0" collapsed="false">
      <c r="A255" s="36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37"/>
    </row>
    <row r="256" customFormat="false" ht="14.25" hidden="false" customHeight="false" outlineLevel="0" collapsed="false">
      <c r="A256" s="36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37"/>
    </row>
    <row r="257" customFormat="false" ht="14.25" hidden="false" customHeight="false" outlineLevel="0" collapsed="false">
      <c r="A257" s="47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48"/>
    </row>
    <row r="258" customFormat="false" ht="14.25" hidden="false" customHeight="false" outlineLevel="0" collapsed="false">
      <c r="A258" s="36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37"/>
    </row>
    <row r="259" customFormat="false" ht="14.25" hidden="false" customHeight="false" outlineLevel="0" collapsed="false">
      <c r="A259" s="36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37"/>
    </row>
    <row r="260" customFormat="false" ht="14.25" hidden="false" customHeight="false" outlineLevel="0" collapsed="false">
      <c r="A260" s="36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37"/>
    </row>
    <row r="261" customFormat="false" ht="14.25" hidden="false" customHeight="false" outlineLevel="0" collapsed="false">
      <c r="A261" s="49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50"/>
    </row>
    <row r="262" customFormat="false" ht="14.25" hidden="false" customHeight="false" outlineLevel="0" collapsed="false">
      <c r="A262" s="36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37"/>
    </row>
    <row r="263" customFormat="false" ht="14.25" hidden="false" customHeight="false" outlineLevel="0" collapsed="false">
      <c r="A263" s="36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37"/>
    </row>
    <row r="264" customFormat="false" ht="14.25" hidden="false" customHeight="false" outlineLevel="0" collapsed="false">
      <c r="A264" s="36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37"/>
    </row>
    <row r="265" customFormat="false" ht="14.25" hidden="false" customHeight="false" outlineLevel="0" collapsed="false">
      <c r="A265" s="36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37"/>
    </row>
    <row r="266" customFormat="false" ht="14.25" hidden="false" customHeight="false" outlineLevel="0" collapsed="false">
      <c r="A266" s="36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37"/>
    </row>
    <row r="267" customFormat="false" ht="14.25" hidden="false" customHeight="false" outlineLevel="0" collapsed="false">
      <c r="A267" s="36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37"/>
    </row>
    <row r="268" customFormat="false" ht="14.25" hidden="false" customHeight="false" outlineLevel="0" collapsed="false">
      <c r="A268" s="36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37"/>
    </row>
    <row r="269" customFormat="false" ht="14.25" hidden="false" customHeight="false" outlineLevel="0" collapsed="false">
      <c r="A269" s="36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37"/>
    </row>
    <row r="270" customFormat="false" ht="14.25" hidden="false" customHeight="false" outlineLevel="0" collapsed="false">
      <c r="A270" s="36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37"/>
    </row>
    <row r="271" customFormat="false" ht="14.25" hidden="false" customHeight="false" outlineLevel="0" collapsed="false">
      <c r="A271" s="36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37"/>
    </row>
    <row r="272" customFormat="false" ht="14.25" hidden="false" customHeight="false" outlineLevel="0" collapsed="false">
      <c r="A272" s="36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37"/>
    </row>
    <row r="273" customFormat="false" ht="14.25" hidden="false" customHeight="false" outlineLevel="0" collapsed="false">
      <c r="A273" s="36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37"/>
    </row>
    <row r="274" customFormat="false" ht="14.25" hidden="false" customHeight="false" outlineLevel="0" collapsed="false">
      <c r="A274" s="36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37"/>
    </row>
    <row r="275" customFormat="false" ht="14.25" hidden="false" customHeight="false" outlineLevel="0" collapsed="false">
      <c r="A275" s="36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37"/>
    </row>
    <row r="276" customFormat="false" ht="14.25" hidden="false" customHeight="false" outlineLevel="0" collapsed="false">
      <c r="A276" s="36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37"/>
    </row>
    <row r="277" customFormat="false" ht="14.25" hidden="false" customHeight="false" outlineLevel="0" collapsed="false">
      <c r="A277" s="36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37"/>
    </row>
    <row r="278" customFormat="false" ht="14.25" hidden="false" customHeight="false" outlineLevel="0" collapsed="false">
      <c r="A278" s="36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37"/>
    </row>
    <row r="279" customFormat="false" ht="14.25" hidden="false" customHeight="false" outlineLevel="0" collapsed="false">
      <c r="A279" s="36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37"/>
    </row>
    <row r="280" customFormat="false" ht="14.25" hidden="false" customHeight="false" outlineLevel="0" collapsed="false">
      <c r="A280" s="36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37"/>
    </row>
    <row r="281" customFormat="false" ht="14.25" hidden="false" customHeight="false" outlineLevel="0" collapsed="false">
      <c r="A281" s="36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37"/>
    </row>
    <row r="282" customFormat="false" ht="14.25" hidden="false" customHeight="false" outlineLevel="0" collapsed="false">
      <c r="A282" s="36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37"/>
    </row>
    <row r="283" customFormat="false" ht="14.25" hidden="false" customHeight="false" outlineLevel="0" collapsed="false">
      <c r="A283" s="36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37"/>
    </row>
    <row r="284" customFormat="false" ht="14.25" hidden="false" customHeight="false" outlineLevel="0" collapsed="false">
      <c r="A284" s="36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37"/>
    </row>
    <row r="285" customFormat="false" ht="14.25" hidden="false" customHeight="false" outlineLevel="0" collapsed="false">
      <c r="A285" s="47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48"/>
    </row>
    <row r="286" customFormat="false" ht="14.25" hidden="false" customHeight="false" outlineLevel="0" collapsed="false">
      <c r="A286" s="36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37"/>
    </row>
    <row r="287" customFormat="false" ht="14.25" hidden="false" customHeight="false" outlineLevel="0" collapsed="false">
      <c r="A287" s="36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37"/>
    </row>
    <row r="288" customFormat="false" ht="14.25" hidden="false" customHeight="false" outlineLevel="0" collapsed="false">
      <c r="A288" s="36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37"/>
    </row>
    <row r="289" customFormat="false" ht="14.25" hidden="false" customHeight="false" outlineLevel="0" collapsed="false">
      <c r="A289" s="49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50"/>
    </row>
    <row r="290" customFormat="false" ht="14.25" hidden="false" customHeight="false" outlineLevel="0" collapsed="false">
      <c r="A290" s="36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37"/>
    </row>
    <row r="291" customFormat="false" ht="14.25" hidden="false" customHeight="false" outlineLevel="0" collapsed="false">
      <c r="A291" s="36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37"/>
    </row>
    <row r="292" customFormat="false" ht="14.25" hidden="false" customHeight="false" outlineLevel="0" collapsed="false">
      <c r="A292" s="36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37"/>
    </row>
    <row r="293" customFormat="false" ht="14.25" hidden="false" customHeight="false" outlineLevel="0" collapsed="false">
      <c r="A293" s="36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37"/>
    </row>
    <row r="294" customFormat="false" ht="14.25" hidden="false" customHeight="false" outlineLevel="0" collapsed="false">
      <c r="A294" s="47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48"/>
    </row>
    <row r="295" customFormat="false" ht="14.25" hidden="false" customHeight="false" outlineLevel="0" collapsed="false">
      <c r="A295" s="36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37"/>
    </row>
    <row r="296" customFormat="false" ht="14.25" hidden="false" customHeight="false" outlineLevel="0" collapsed="false">
      <c r="A296" s="36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37"/>
    </row>
    <row r="297" customFormat="false" ht="14.25" hidden="false" customHeight="false" outlineLevel="0" collapsed="false">
      <c r="A297" s="36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37"/>
    </row>
    <row r="298" customFormat="false" ht="14.25" hidden="false" customHeight="false" outlineLevel="0" collapsed="false">
      <c r="A298" s="49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50"/>
    </row>
    <row r="299" customFormat="false" ht="14.25" hidden="false" customHeight="false" outlineLevel="0" collapsed="false">
      <c r="A299" s="36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37"/>
    </row>
    <row r="300" customFormat="false" ht="14.25" hidden="false" customHeight="false" outlineLevel="0" collapsed="false">
      <c r="A300" s="36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37"/>
    </row>
    <row r="301" customFormat="false" ht="14.25" hidden="false" customHeight="false" outlineLevel="0" collapsed="false">
      <c r="A301" s="36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37"/>
    </row>
    <row r="302" customFormat="false" ht="14.25" hidden="false" customHeight="false" outlineLevel="0" collapsed="false">
      <c r="A302" s="36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37"/>
    </row>
    <row r="303" customFormat="false" ht="14.25" hidden="false" customHeight="false" outlineLevel="0" collapsed="false">
      <c r="A303" s="36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37"/>
    </row>
    <row r="304" customFormat="false" ht="14.25" hidden="false" customHeight="false" outlineLevel="0" collapsed="false">
      <c r="A304" s="36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37"/>
    </row>
    <row r="305" customFormat="false" ht="14.25" hidden="false" customHeight="false" outlineLevel="0" collapsed="false">
      <c r="A305" s="36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37"/>
    </row>
    <row r="306" customFormat="false" ht="14.25" hidden="false" customHeight="false" outlineLevel="0" collapsed="false">
      <c r="A306" s="36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37"/>
    </row>
    <row r="307" customFormat="false" ht="14.25" hidden="false" customHeight="false" outlineLevel="0" collapsed="false">
      <c r="A307" s="36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37"/>
    </row>
    <row r="308" customFormat="false" ht="14.25" hidden="false" customHeight="false" outlineLevel="0" collapsed="false">
      <c r="A308" s="36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37"/>
    </row>
    <row r="309" customFormat="false" ht="14.25" hidden="false" customHeight="false" outlineLevel="0" collapsed="false">
      <c r="A309" s="36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37"/>
    </row>
    <row r="310" customFormat="false" ht="14.25" hidden="false" customHeight="false" outlineLevel="0" collapsed="false">
      <c r="A310" s="36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37"/>
    </row>
    <row r="311" customFormat="false" ht="14.25" hidden="false" customHeight="false" outlineLevel="0" collapsed="false">
      <c r="A311" s="36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37"/>
    </row>
    <row r="312" customFormat="false" ht="14.25" hidden="false" customHeight="false" outlineLevel="0" collapsed="false">
      <c r="A312" s="36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37"/>
    </row>
    <row r="313" customFormat="false" ht="14.25" hidden="false" customHeight="false" outlineLevel="0" collapsed="false">
      <c r="A313" s="36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37"/>
    </row>
    <row r="314" customFormat="false" ht="14.25" hidden="false" customHeight="false" outlineLevel="0" collapsed="false">
      <c r="A314" s="36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37"/>
    </row>
    <row r="315" customFormat="false" ht="14.25" hidden="false" customHeight="false" outlineLevel="0" collapsed="false">
      <c r="A315" s="36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37"/>
    </row>
    <row r="316" customFormat="false" ht="14.25" hidden="false" customHeight="false" outlineLevel="0" collapsed="false">
      <c r="A316" s="36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37"/>
    </row>
    <row r="317" customFormat="false" ht="14.25" hidden="false" customHeight="false" outlineLevel="0" collapsed="false">
      <c r="A317" s="36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37"/>
    </row>
    <row r="318" customFormat="false" ht="14.25" hidden="false" customHeight="false" outlineLevel="0" collapsed="false">
      <c r="A318" s="36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37"/>
    </row>
    <row r="319" customFormat="false" ht="14.25" hidden="false" customHeight="false" outlineLevel="0" collapsed="false">
      <c r="A319" s="36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37"/>
    </row>
    <row r="320" customFormat="false" ht="14.25" hidden="false" customHeight="false" outlineLevel="0" collapsed="false">
      <c r="A320" s="36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37"/>
    </row>
    <row r="321" customFormat="false" ht="14.25" hidden="false" customHeight="false" outlineLevel="0" collapsed="false">
      <c r="A321" s="36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37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4"/>
  <sheetViews>
    <sheetView showFormulas="false" showGridLines="true" showRowColHeaders="true" showZeros="true" rightToLeft="true" tabSelected="true" showOutlineSymbols="true" defaultGridColor="true" view="normal" topLeftCell="A22" colorId="64" zoomScale="100" zoomScaleNormal="100" zoomScalePageLayoutView="100" workbookViewId="0">
      <selection pane="topLeft" activeCell="D4" activeCellId="0" sqref="D4:D5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2.82"/>
    <col collapsed="false" customWidth="true" hidden="false" outlineLevel="0" max="5" min="2" style="1" width="12.45"/>
    <col collapsed="false" customWidth="true" hidden="false" outlineLevel="0" max="6" min="6" style="1" width="14.45"/>
    <col collapsed="false" customWidth="true" hidden="false" outlineLevel="0" max="7" min="7" style="1" width="15.18"/>
    <col collapsed="false" customWidth="true" hidden="false" outlineLevel="0" max="8" min="8" style="1" width="20.18"/>
    <col collapsed="false" customWidth="true" hidden="false" outlineLevel="0" max="10" min="9" style="1" width="14.73"/>
    <col collapsed="false" customWidth="true" hidden="false" outlineLevel="0" max="11" min="11" style="1" width="17.54"/>
    <col collapsed="false" customWidth="true" hidden="false" outlineLevel="0" max="12" min="12" style="1" width="16.73"/>
    <col collapsed="false" customWidth="true" hidden="false" outlineLevel="0" max="13" min="13" style="1" width="25.54"/>
    <col collapsed="false" customWidth="false" hidden="false" outlineLevel="0" max="14" min="14" style="1" width="8.73"/>
    <col collapsed="false" customWidth="true" hidden="false" outlineLevel="0" max="15" min="15" style="1" width="14.27"/>
    <col collapsed="false" customWidth="false" hidden="false" outlineLevel="0" max="16384" min="16" style="1" width="8.7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</row>
    <row r="2" customFormat="false" ht="49.5" hidden="false" customHeight="true" outlineLevel="0" collapsed="false">
      <c r="A2" s="3" t="s">
        <v>0</v>
      </c>
      <c r="B2" s="58" t="s">
        <v>1</v>
      </c>
      <c r="C2" s="58" t="s">
        <v>2</v>
      </c>
      <c r="D2" s="4" t="s">
        <v>101</v>
      </c>
      <c r="E2" s="58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</row>
    <row r="3" customFormat="false" ht="15.65" hidden="false" customHeight="false" outlineLevel="0" collapsed="false">
      <c r="A3" s="36" t="s">
        <v>102</v>
      </c>
      <c r="B3" s="20" t="n">
        <v>6</v>
      </c>
      <c r="C3" s="33" t="s">
        <v>14</v>
      </c>
      <c r="D3" s="20" t="s">
        <v>23</v>
      </c>
      <c r="E3" s="33" t="s">
        <v>103</v>
      </c>
      <c r="F3" s="20"/>
      <c r="G3" s="20"/>
      <c r="H3" s="20"/>
      <c r="I3" s="20"/>
      <c r="J3" s="20"/>
      <c r="K3" s="20"/>
      <c r="L3" s="20"/>
      <c r="M3" s="37"/>
    </row>
    <row r="4" s="54" customFormat="true" ht="14.25" hidden="false" customHeight="false" outlineLevel="0" collapsed="false">
      <c r="A4" s="33" t="s">
        <v>104</v>
      </c>
      <c r="B4" s="20" t="n">
        <v>4</v>
      </c>
      <c r="C4" s="33" t="s">
        <v>14</v>
      </c>
      <c r="D4" s="20" t="s">
        <v>23</v>
      </c>
      <c r="E4" s="33" t="s">
        <v>43</v>
      </c>
      <c r="F4" s="20"/>
      <c r="G4" s="20"/>
      <c r="H4" s="20"/>
      <c r="I4" s="20"/>
      <c r="J4" s="20"/>
      <c r="K4" s="20"/>
      <c r="L4" s="20"/>
      <c r="M4" s="37"/>
      <c r="O4" s="59" t="s">
        <v>17</v>
      </c>
    </row>
    <row r="5" customFormat="false" ht="15.65" hidden="false" customHeight="false" outlineLevel="0" collapsed="false">
      <c r="A5" s="36" t="s">
        <v>105</v>
      </c>
      <c r="B5" s="36" t="n">
        <v>5</v>
      </c>
      <c r="C5" s="33" t="s">
        <v>34</v>
      </c>
      <c r="D5" s="20" t="s">
        <v>23</v>
      </c>
      <c r="E5" s="36" t="s">
        <v>106</v>
      </c>
      <c r="F5" s="20"/>
      <c r="G5" s="20"/>
      <c r="H5" s="20"/>
      <c r="I5" s="20"/>
      <c r="J5" s="20"/>
      <c r="K5" s="20"/>
      <c r="L5" s="20"/>
      <c r="M5" s="20"/>
      <c r="O5" s="18" t="s">
        <v>21</v>
      </c>
      <c r="P5" s="19" t="n">
        <f aca="false">SUM(טבלה13453[כמות מוזמנים])</f>
        <v>134</v>
      </c>
    </row>
    <row r="6" customFormat="false" ht="14.25" hidden="false" customHeight="false" outlineLevel="0" collapsed="false">
      <c r="A6" s="36" t="s">
        <v>107</v>
      </c>
      <c r="B6" s="36" t="n">
        <v>2</v>
      </c>
      <c r="C6" s="36" t="s">
        <v>14</v>
      </c>
      <c r="D6" s="36" t="s">
        <v>57</v>
      </c>
      <c r="E6" s="36" t="s">
        <v>108</v>
      </c>
      <c r="F6" s="20"/>
      <c r="G6" s="20"/>
      <c r="H6" s="20"/>
      <c r="I6" s="20"/>
      <c r="J6" s="20"/>
      <c r="K6" s="20"/>
      <c r="L6" s="20"/>
      <c r="M6" s="20"/>
      <c r="O6" s="60"/>
      <c r="P6" s="44"/>
    </row>
    <row r="7" customFormat="false" ht="14.25" hidden="false" customHeight="false" outlineLevel="0" collapsed="false">
      <c r="A7" s="36" t="s">
        <v>109</v>
      </c>
      <c r="B7" s="20" t="n">
        <v>2</v>
      </c>
      <c r="C7" s="33" t="s">
        <v>14</v>
      </c>
      <c r="D7" s="36" t="s">
        <v>57</v>
      </c>
      <c r="E7" s="33" t="s">
        <v>103</v>
      </c>
      <c r="F7" s="20"/>
      <c r="G7" s="20"/>
      <c r="H7" s="20"/>
      <c r="I7" s="20"/>
      <c r="J7" s="20"/>
      <c r="K7" s="20"/>
      <c r="L7" s="20"/>
      <c r="M7" s="37"/>
      <c r="O7" s="21" t="s">
        <v>25</v>
      </c>
      <c r="P7" s="22" t="n">
        <f aca="false">SUMIF(טבלה13453[בטוחים-1, סימן שאלה - 2, מוזמנים אך לא -3],1,טבלה13453[כמות מוזמנים])</f>
        <v>0</v>
      </c>
    </row>
    <row r="8" customFormat="false" ht="14.25" hidden="false" customHeight="false" outlineLevel="0" collapsed="false">
      <c r="A8" s="36" t="s">
        <v>110</v>
      </c>
      <c r="B8" s="20" t="n">
        <v>1</v>
      </c>
      <c r="C8" s="33" t="s">
        <v>14</v>
      </c>
      <c r="D8" s="36" t="s">
        <v>57</v>
      </c>
      <c r="E8" s="33" t="s">
        <v>103</v>
      </c>
      <c r="F8" s="20"/>
      <c r="G8" s="20"/>
      <c r="H8" s="20"/>
      <c r="I8" s="20"/>
      <c r="J8" s="20"/>
      <c r="K8" s="20"/>
      <c r="L8" s="20"/>
      <c r="M8" s="37"/>
      <c r="O8" s="21" t="s">
        <v>28</v>
      </c>
      <c r="P8" s="23" t="n">
        <f aca="false">SUMIF(טבלה13453[בטוחים-1, סימן שאלה - 2, מוזמנים אך לא -3],2,טבלה13453[כמות מוזמנים])</f>
        <v>0</v>
      </c>
    </row>
    <row r="9" customFormat="false" ht="14.25" hidden="false" customHeight="false" outlineLevel="0" collapsed="false">
      <c r="A9" s="36" t="s">
        <v>22</v>
      </c>
      <c r="B9" s="20" t="n">
        <v>1</v>
      </c>
      <c r="C9" s="33" t="s">
        <v>14</v>
      </c>
      <c r="D9" s="36" t="s">
        <v>57</v>
      </c>
      <c r="E9" s="33" t="s">
        <v>103</v>
      </c>
      <c r="F9" s="20"/>
      <c r="G9" s="20"/>
      <c r="H9" s="20"/>
      <c r="I9" s="20"/>
      <c r="J9" s="20"/>
      <c r="K9" s="20"/>
      <c r="L9" s="20"/>
      <c r="M9" s="37"/>
      <c r="O9" s="24" t="s">
        <v>31</v>
      </c>
      <c r="P9" s="25" t="n">
        <f aca="false">SUM(טבלה13453[הזמנה(1-כן, 0-לא)])</f>
        <v>0</v>
      </c>
    </row>
    <row r="10" customFormat="false" ht="14.25" hidden="false" customHeight="false" outlineLevel="0" collapsed="false">
      <c r="A10" s="36" t="s">
        <v>111</v>
      </c>
      <c r="B10" s="20" t="n">
        <v>1</v>
      </c>
      <c r="C10" s="33" t="s">
        <v>14</v>
      </c>
      <c r="D10" s="36" t="s">
        <v>57</v>
      </c>
      <c r="E10" s="33" t="s">
        <v>112</v>
      </c>
      <c r="F10" s="20"/>
      <c r="G10" s="20"/>
      <c r="H10" s="20"/>
      <c r="I10" s="20"/>
      <c r="J10" s="20"/>
      <c r="K10" s="20"/>
      <c r="L10" s="20"/>
      <c r="M10" s="37"/>
    </row>
    <row r="11" customFormat="false" ht="14.25" hidden="false" customHeight="false" outlineLevel="0" collapsed="false">
      <c r="A11" s="36" t="s">
        <v>113</v>
      </c>
      <c r="B11" s="20" t="n">
        <v>1</v>
      </c>
      <c r="C11" s="33" t="s">
        <v>14</v>
      </c>
      <c r="D11" s="36" t="s">
        <v>57</v>
      </c>
      <c r="E11" s="33" t="s">
        <v>114</v>
      </c>
      <c r="F11" s="20"/>
      <c r="G11" s="20"/>
      <c r="H11" s="20"/>
      <c r="I11" s="20"/>
      <c r="J11" s="20"/>
      <c r="K11" s="20"/>
      <c r="L11" s="20"/>
      <c r="M11" s="37"/>
    </row>
    <row r="12" customFormat="false" ht="15.65" hidden="false" customHeight="false" outlineLevel="0" collapsed="false">
      <c r="A12" s="36" t="s">
        <v>115</v>
      </c>
      <c r="B12" s="20" t="n">
        <v>2</v>
      </c>
      <c r="C12" s="33" t="s">
        <v>14</v>
      </c>
      <c r="D12" s="36" t="s">
        <v>57</v>
      </c>
      <c r="E12" s="33" t="s">
        <v>27</v>
      </c>
      <c r="F12" s="20"/>
      <c r="G12" s="20"/>
      <c r="H12" s="20"/>
      <c r="I12" s="20"/>
      <c r="J12" s="20"/>
      <c r="K12" s="20"/>
      <c r="L12" s="20"/>
      <c r="M12" s="37"/>
    </row>
    <row r="13" customFormat="false" ht="14.25" hidden="false" customHeight="false" outlineLevel="0" collapsed="false">
      <c r="A13" s="33" t="s">
        <v>116</v>
      </c>
      <c r="B13" s="20" t="n">
        <v>2</v>
      </c>
      <c r="C13" s="33" t="s">
        <v>14</v>
      </c>
      <c r="D13" s="36" t="s">
        <v>57</v>
      </c>
      <c r="E13" s="33" t="s">
        <v>27</v>
      </c>
      <c r="F13" s="20"/>
      <c r="G13" s="20"/>
      <c r="H13" s="20"/>
      <c r="I13" s="20"/>
      <c r="J13" s="20"/>
      <c r="K13" s="20"/>
      <c r="L13" s="20"/>
      <c r="M13" s="37"/>
    </row>
    <row r="14" customFormat="false" ht="14.25" hidden="false" customHeight="false" outlineLevel="0" collapsed="false">
      <c r="A14" s="33" t="s">
        <v>117</v>
      </c>
      <c r="B14" s="20" t="n">
        <v>2</v>
      </c>
      <c r="C14" s="33" t="s">
        <v>14</v>
      </c>
      <c r="D14" s="36" t="s">
        <v>57</v>
      </c>
      <c r="E14" s="33" t="s">
        <v>118</v>
      </c>
      <c r="F14" s="20"/>
      <c r="G14" s="20"/>
      <c r="H14" s="20"/>
      <c r="I14" s="20"/>
      <c r="J14" s="20"/>
      <c r="K14" s="20"/>
      <c r="L14" s="20"/>
      <c r="M14" s="37"/>
    </row>
    <row r="15" customFormat="false" ht="14.25" hidden="false" customHeight="false" outlineLevel="0" collapsed="false">
      <c r="A15" s="33" t="s">
        <v>119</v>
      </c>
      <c r="B15" s="20" t="n">
        <v>1</v>
      </c>
      <c r="C15" s="33" t="s">
        <v>14</v>
      </c>
      <c r="D15" s="36" t="s">
        <v>57</v>
      </c>
      <c r="E15" s="33" t="s">
        <v>120</v>
      </c>
      <c r="F15" s="20"/>
      <c r="G15" s="20"/>
      <c r="H15" s="20"/>
      <c r="I15" s="20"/>
      <c r="J15" s="20"/>
      <c r="K15" s="20"/>
      <c r="L15" s="20"/>
      <c r="M15" s="37"/>
      <c r="O15" s="12" t="s">
        <v>40</v>
      </c>
    </row>
    <row r="16" customFormat="false" ht="15.65" hidden="false" customHeight="false" outlineLevel="0" collapsed="false">
      <c r="A16" s="33" t="s">
        <v>121</v>
      </c>
      <c r="B16" s="20" t="n">
        <v>1</v>
      </c>
      <c r="C16" s="33" t="s">
        <v>14</v>
      </c>
      <c r="D16" s="36" t="s">
        <v>57</v>
      </c>
      <c r="E16" s="33" t="s">
        <v>112</v>
      </c>
      <c r="F16" s="20"/>
      <c r="G16" s="20"/>
      <c r="H16" s="20"/>
      <c r="I16" s="20"/>
      <c r="J16" s="20"/>
      <c r="K16" s="20"/>
      <c r="L16" s="20"/>
      <c r="M16" s="37"/>
      <c r="O16" s="18" t="s">
        <v>44</v>
      </c>
      <c r="P16" s="19" t="n">
        <f aca="false">SUM(טבלה13453[כמות הגיעו בפועל (אחרי חתונה)])</f>
        <v>0</v>
      </c>
    </row>
    <row r="17" customFormat="false" ht="15.65" hidden="false" customHeight="false" outlineLevel="0" collapsed="false">
      <c r="A17" s="33" t="s">
        <v>122</v>
      </c>
      <c r="B17" s="20" t="n">
        <v>1</v>
      </c>
      <c r="C17" s="33" t="s">
        <v>14</v>
      </c>
      <c r="D17" s="36" t="s">
        <v>57</v>
      </c>
      <c r="E17" s="20"/>
      <c r="F17" s="20"/>
      <c r="G17" s="20"/>
      <c r="H17" s="20"/>
      <c r="I17" s="20"/>
      <c r="J17" s="20"/>
      <c r="K17" s="20"/>
      <c r="L17" s="20"/>
      <c r="M17" s="37"/>
      <c r="O17" s="24" t="s">
        <v>47</v>
      </c>
      <c r="P17" s="25" t="n">
        <f aca="false">SUM(טבלה13453[כסף])</f>
        <v>0</v>
      </c>
    </row>
    <row r="18" customFormat="false" ht="14.25" hidden="false" customHeight="false" outlineLevel="0" collapsed="false">
      <c r="A18" s="33" t="s">
        <v>123</v>
      </c>
      <c r="B18" s="20" t="n">
        <v>1</v>
      </c>
      <c r="C18" s="33" t="s">
        <v>14</v>
      </c>
      <c r="D18" s="36" t="s">
        <v>57</v>
      </c>
      <c r="E18" s="20"/>
      <c r="F18" s="20"/>
      <c r="G18" s="20"/>
      <c r="H18" s="20"/>
      <c r="I18" s="20"/>
      <c r="J18" s="20"/>
      <c r="K18" s="20"/>
      <c r="L18" s="20"/>
      <c r="M18" s="37"/>
    </row>
    <row r="19" customFormat="false" ht="14.25" hidden="false" customHeight="false" outlineLevel="0" collapsed="false">
      <c r="A19" s="33" t="s">
        <v>124</v>
      </c>
      <c r="B19" s="20" t="n">
        <v>1</v>
      </c>
      <c r="C19" s="33" t="s">
        <v>14</v>
      </c>
      <c r="D19" s="36" t="s">
        <v>57</v>
      </c>
      <c r="E19" s="20"/>
      <c r="F19" s="20"/>
      <c r="G19" s="20"/>
      <c r="H19" s="20"/>
      <c r="I19" s="20"/>
      <c r="J19" s="20"/>
      <c r="K19" s="20"/>
      <c r="L19" s="20"/>
      <c r="M19" s="37"/>
    </row>
    <row r="20" customFormat="false" ht="14.25" hidden="false" customHeight="false" outlineLevel="0" collapsed="false">
      <c r="A20" s="33" t="s">
        <v>125</v>
      </c>
      <c r="B20" s="20" t="n">
        <v>4</v>
      </c>
      <c r="C20" s="33" t="s">
        <v>14</v>
      </c>
      <c r="D20" s="36" t="s">
        <v>57</v>
      </c>
      <c r="E20" s="20"/>
      <c r="F20" s="20"/>
      <c r="G20" s="20"/>
      <c r="H20" s="20"/>
      <c r="I20" s="20"/>
      <c r="J20" s="20"/>
      <c r="K20" s="20"/>
      <c r="L20" s="20"/>
      <c r="M20" s="37"/>
    </row>
    <row r="21" customFormat="false" ht="14.25" hidden="false" customHeight="false" outlineLevel="0" collapsed="false">
      <c r="A21" s="36" t="s">
        <v>126</v>
      </c>
      <c r="B21" s="20" t="n">
        <v>2</v>
      </c>
      <c r="C21" s="33" t="s">
        <v>34</v>
      </c>
      <c r="D21" s="36" t="s">
        <v>57</v>
      </c>
      <c r="E21" s="61" t="s">
        <v>127</v>
      </c>
      <c r="F21" s="61"/>
      <c r="G21" s="61"/>
      <c r="H21" s="61"/>
      <c r="I21" s="61"/>
      <c r="J21" s="61"/>
      <c r="K21" s="61"/>
      <c r="L21" s="61"/>
      <c r="M21" s="37"/>
    </row>
    <row r="22" customFormat="false" ht="14.25" hidden="false" customHeight="false" outlineLevel="0" collapsed="false">
      <c r="A22" s="36" t="s">
        <v>128</v>
      </c>
      <c r="B22" s="61" t="n">
        <v>2</v>
      </c>
      <c r="C22" s="33" t="s">
        <v>34</v>
      </c>
      <c r="D22" s="36" t="s">
        <v>57</v>
      </c>
      <c r="E22" s="33" t="s">
        <v>129</v>
      </c>
      <c r="F22" s="61"/>
      <c r="G22" s="61"/>
      <c r="H22" s="61"/>
      <c r="I22" s="61"/>
      <c r="J22" s="61"/>
      <c r="K22" s="61"/>
      <c r="L22" s="61"/>
      <c r="M22" s="61"/>
    </row>
    <row r="23" customFormat="false" ht="14.25" hidden="false" customHeight="false" outlineLevel="0" collapsed="false">
      <c r="A23" s="36" t="s">
        <v>130</v>
      </c>
      <c r="B23" s="61" t="n">
        <v>2</v>
      </c>
      <c r="C23" s="33" t="s">
        <v>34</v>
      </c>
      <c r="D23" s="36" t="s">
        <v>57</v>
      </c>
      <c r="E23" s="33" t="s">
        <v>129</v>
      </c>
      <c r="F23" s="61"/>
      <c r="G23" s="61"/>
      <c r="H23" s="61"/>
      <c r="I23" s="61"/>
      <c r="J23" s="61"/>
      <c r="K23" s="61"/>
      <c r="L23" s="61"/>
      <c r="M23" s="37"/>
    </row>
    <row r="24" customFormat="false" ht="14.25" hidden="false" customHeight="false" outlineLevel="0" collapsed="false">
      <c r="A24" s="36" t="s">
        <v>131</v>
      </c>
      <c r="B24" s="61" t="n">
        <v>1</v>
      </c>
      <c r="C24" s="33" t="s">
        <v>34</v>
      </c>
      <c r="D24" s="36" t="s">
        <v>57</v>
      </c>
      <c r="E24" s="33" t="s">
        <v>129</v>
      </c>
      <c r="F24" s="61"/>
      <c r="G24" s="61"/>
      <c r="H24" s="61"/>
      <c r="I24" s="61"/>
      <c r="J24" s="61"/>
      <c r="K24" s="61"/>
      <c r="L24" s="61"/>
      <c r="M24" s="37"/>
    </row>
    <row r="25" customFormat="false" ht="15.65" hidden="false" customHeight="false" outlineLevel="0" collapsed="false">
      <c r="A25" s="36" t="s">
        <v>132</v>
      </c>
      <c r="B25" s="61" t="n">
        <v>4</v>
      </c>
      <c r="C25" s="33" t="s">
        <v>34</v>
      </c>
      <c r="D25" s="36" t="s">
        <v>57</v>
      </c>
      <c r="E25" s="33" t="s">
        <v>133</v>
      </c>
      <c r="F25" s="61"/>
      <c r="G25" s="61"/>
      <c r="H25" s="61"/>
      <c r="I25" s="61"/>
      <c r="J25" s="61"/>
      <c r="K25" s="61"/>
      <c r="L25" s="61"/>
      <c r="M25" s="61"/>
    </row>
    <row r="26" customFormat="false" ht="15.65" hidden="false" customHeight="false" outlineLevel="0" collapsed="false">
      <c r="A26" s="36" t="s">
        <v>134</v>
      </c>
      <c r="B26" s="61" t="n">
        <v>3</v>
      </c>
      <c r="C26" s="33" t="s">
        <v>34</v>
      </c>
      <c r="D26" s="36" t="s">
        <v>57</v>
      </c>
      <c r="E26" s="36" t="s">
        <v>135</v>
      </c>
      <c r="F26" s="61"/>
      <c r="G26" s="61"/>
      <c r="H26" s="61"/>
      <c r="I26" s="61"/>
      <c r="J26" s="61"/>
      <c r="K26" s="61"/>
      <c r="L26" s="61"/>
      <c r="M26" s="61"/>
    </row>
    <row r="27" customFormat="false" ht="14.25" hidden="false" customHeight="false" outlineLevel="0" collapsed="false">
      <c r="A27" s="62" t="s">
        <v>131</v>
      </c>
      <c r="B27" s="61" t="n">
        <v>2</v>
      </c>
      <c r="C27" s="33" t="s">
        <v>34</v>
      </c>
      <c r="D27" s="36" t="s">
        <v>57</v>
      </c>
      <c r="E27" s="33" t="s">
        <v>136</v>
      </c>
      <c r="F27" s="61"/>
      <c r="G27" s="61"/>
      <c r="H27" s="61"/>
      <c r="I27" s="61"/>
      <c r="J27" s="61"/>
      <c r="K27" s="61"/>
      <c r="L27" s="61"/>
      <c r="M27" s="61"/>
    </row>
    <row r="28" customFormat="false" ht="14.25" hidden="false" customHeight="false" outlineLevel="0" collapsed="false">
      <c r="A28" s="62" t="s">
        <v>137</v>
      </c>
      <c r="B28" s="61" t="n">
        <v>2</v>
      </c>
      <c r="C28" s="33" t="s">
        <v>34</v>
      </c>
      <c r="D28" s="36" t="s">
        <v>57</v>
      </c>
      <c r="E28" s="33" t="s">
        <v>136</v>
      </c>
      <c r="F28" s="61"/>
      <c r="G28" s="61"/>
      <c r="H28" s="61"/>
      <c r="I28" s="61"/>
      <c r="J28" s="61"/>
      <c r="K28" s="61"/>
      <c r="L28" s="61"/>
      <c r="M28" s="61"/>
    </row>
    <row r="29" customFormat="false" ht="14.25" hidden="false" customHeight="false" outlineLevel="0" collapsed="false">
      <c r="A29" s="36" t="s">
        <v>138</v>
      </c>
      <c r="B29" s="61" t="n">
        <v>2</v>
      </c>
      <c r="C29" s="33" t="s">
        <v>34</v>
      </c>
      <c r="D29" s="36" t="s">
        <v>57</v>
      </c>
      <c r="E29" s="33" t="s">
        <v>136</v>
      </c>
      <c r="F29" s="61"/>
      <c r="G29" s="61"/>
      <c r="H29" s="61"/>
      <c r="I29" s="61"/>
      <c r="J29" s="61"/>
      <c r="K29" s="61"/>
      <c r="L29" s="61"/>
      <c r="M29" s="37"/>
    </row>
    <row r="30" customFormat="false" ht="14.25" hidden="false" customHeight="false" outlineLevel="0" collapsed="false">
      <c r="A30" s="36" t="s">
        <v>139</v>
      </c>
      <c r="B30" s="61" t="n">
        <v>2</v>
      </c>
      <c r="C30" s="33" t="s">
        <v>34</v>
      </c>
      <c r="D30" s="36" t="s">
        <v>57</v>
      </c>
      <c r="E30" s="33" t="s">
        <v>64</v>
      </c>
      <c r="F30" s="61"/>
      <c r="G30" s="61"/>
      <c r="H30" s="61"/>
      <c r="I30" s="61"/>
      <c r="J30" s="61"/>
      <c r="K30" s="61"/>
      <c r="L30" s="61"/>
      <c r="M30" s="37"/>
    </row>
    <row r="31" customFormat="false" ht="14.25" hidden="false" customHeight="false" outlineLevel="0" collapsed="false">
      <c r="A31" s="62" t="s">
        <v>140</v>
      </c>
      <c r="B31" s="61" t="n">
        <v>2</v>
      </c>
      <c r="C31" s="33" t="s">
        <v>34</v>
      </c>
      <c r="D31" s="36" t="s">
        <v>57</v>
      </c>
      <c r="E31" s="33" t="s">
        <v>141</v>
      </c>
      <c r="F31" s="61"/>
      <c r="G31" s="61"/>
      <c r="H31" s="61"/>
      <c r="I31" s="61"/>
      <c r="J31" s="61"/>
      <c r="K31" s="61"/>
      <c r="L31" s="61"/>
      <c r="M31" s="61"/>
    </row>
    <row r="32" customFormat="false" ht="14.25" hidden="false" customHeight="false" outlineLevel="0" collapsed="false">
      <c r="A32" s="36" t="s">
        <v>142</v>
      </c>
      <c r="B32" s="61" t="n">
        <v>1</v>
      </c>
      <c r="C32" s="33" t="s">
        <v>34</v>
      </c>
      <c r="D32" s="36" t="s">
        <v>57</v>
      </c>
      <c r="E32" s="33" t="s">
        <v>143</v>
      </c>
      <c r="F32" s="61"/>
      <c r="G32" s="61"/>
      <c r="H32" s="61"/>
      <c r="I32" s="61"/>
      <c r="J32" s="61"/>
      <c r="K32" s="61"/>
      <c r="L32" s="61"/>
      <c r="M32" s="61"/>
    </row>
    <row r="33" customFormat="false" ht="14.25" hidden="false" customHeight="false" outlineLevel="0" collapsed="false">
      <c r="A33" s="36" t="s">
        <v>144</v>
      </c>
      <c r="B33" s="61" t="n">
        <v>2</v>
      </c>
      <c r="C33" s="33" t="s">
        <v>34</v>
      </c>
      <c r="D33" s="36" t="s">
        <v>57</v>
      </c>
      <c r="E33" s="33" t="s">
        <v>106</v>
      </c>
      <c r="F33" s="61"/>
      <c r="G33" s="61"/>
      <c r="H33" s="61"/>
      <c r="I33" s="61"/>
      <c r="J33" s="61"/>
      <c r="K33" s="61"/>
      <c r="L33" s="61"/>
      <c r="M33" s="61"/>
    </row>
    <row r="34" customFormat="false" ht="14.25" hidden="false" customHeight="false" outlineLevel="0" collapsed="false">
      <c r="A34" s="36" t="s">
        <v>145</v>
      </c>
      <c r="B34" s="61" t="n">
        <v>2</v>
      </c>
      <c r="C34" s="33" t="s">
        <v>34</v>
      </c>
      <c r="D34" s="36" t="s">
        <v>57</v>
      </c>
      <c r="E34" s="33" t="s">
        <v>106</v>
      </c>
      <c r="F34" s="61"/>
      <c r="G34" s="61"/>
      <c r="H34" s="61"/>
      <c r="I34" s="61"/>
      <c r="J34" s="61"/>
      <c r="K34" s="61"/>
      <c r="L34" s="61"/>
      <c r="M34" s="61"/>
    </row>
    <row r="35" customFormat="false" ht="14.25" hidden="false" customHeight="false" outlineLevel="0" collapsed="false">
      <c r="A35" s="36" t="s">
        <v>146</v>
      </c>
      <c r="B35" s="61" t="n">
        <v>2</v>
      </c>
      <c r="C35" s="33" t="s">
        <v>34</v>
      </c>
      <c r="D35" s="36" t="s">
        <v>57</v>
      </c>
      <c r="E35" s="33" t="s">
        <v>106</v>
      </c>
      <c r="F35" s="61"/>
      <c r="G35" s="61"/>
      <c r="H35" s="61"/>
      <c r="I35" s="61"/>
      <c r="J35" s="61"/>
      <c r="K35" s="61"/>
      <c r="L35" s="61"/>
      <c r="M35" s="61"/>
    </row>
    <row r="36" customFormat="false" ht="14.25" hidden="false" customHeight="false" outlineLevel="0" collapsed="false">
      <c r="A36" s="62" t="s">
        <v>147</v>
      </c>
      <c r="B36" s="61" t="n">
        <v>2</v>
      </c>
      <c r="C36" s="33" t="s">
        <v>34</v>
      </c>
      <c r="D36" s="36" t="s">
        <v>57</v>
      </c>
      <c r="E36" s="33" t="s">
        <v>106</v>
      </c>
      <c r="F36" s="61"/>
      <c r="G36" s="61"/>
      <c r="H36" s="61"/>
      <c r="I36" s="61"/>
      <c r="J36" s="61"/>
      <c r="K36" s="61"/>
      <c r="L36" s="61"/>
      <c r="M36" s="61"/>
    </row>
    <row r="37" customFormat="false" ht="14.25" hidden="false" customHeight="false" outlineLevel="0" collapsed="false">
      <c r="A37" s="36" t="s">
        <v>148</v>
      </c>
      <c r="B37" s="61" t="n">
        <v>1</v>
      </c>
      <c r="C37" s="33" t="s">
        <v>34</v>
      </c>
      <c r="D37" s="36" t="s">
        <v>57</v>
      </c>
      <c r="E37" s="33" t="s">
        <v>106</v>
      </c>
      <c r="F37" s="61"/>
      <c r="G37" s="61"/>
      <c r="H37" s="61"/>
      <c r="I37" s="61"/>
      <c r="J37" s="61"/>
      <c r="K37" s="61"/>
      <c r="L37" s="61"/>
      <c r="M37" s="61"/>
    </row>
    <row r="38" customFormat="false" ht="14.25" hidden="false" customHeight="false" outlineLevel="0" collapsed="false">
      <c r="A38" s="36" t="s">
        <v>149</v>
      </c>
      <c r="B38" s="61" t="n">
        <v>2</v>
      </c>
      <c r="C38" s="33" t="s">
        <v>34</v>
      </c>
      <c r="D38" s="36" t="s">
        <v>57</v>
      </c>
      <c r="E38" s="33" t="s">
        <v>106</v>
      </c>
      <c r="F38" s="61"/>
      <c r="G38" s="61"/>
      <c r="H38" s="61"/>
      <c r="I38" s="61"/>
      <c r="J38" s="61"/>
      <c r="K38" s="61"/>
      <c r="L38" s="61"/>
      <c r="M38" s="61"/>
    </row>
    <row r="39" customFormat="false" ht="14.25" hidden="false" customHeight="false" outlineLevel="0" collapsed="false">
      <c r="A39" s="36" t="s">
        <v>79</v>
      </c>
      <c r="B39" s="61" t="n">
        <v>2</v>
      </c>
      <c r="C39" s="33" t="s">
        <v>34</v>
      </c>
      <c r="D39" s="36" t="s">
        <v>57</v>
      </c>
      <c r="E39" s="33" t="s">
        <v>150</v>
      </c>
      <c r="F39" s="61"/>
      <c r="G39" s="61"/>
      <c r="H39" s="61"/>
      <c r="I39" s="61"/>
      <c r="J39" s="61"/>
      <c r="K39" s="61"/>
      <c r="L39" s="61"/>
      <c r="M39" s="61"/>
    </row>
    <row r="40" customFormat="false" ht="14.25" hidden="false" customHeight="false" outlineLevel="0" collapsed="false">
      <c r="A40" s="36" t="s">
        <v>151</v>
      </c>
      <c r="B40" s="61" t="n">
        <v>1</v>
      </c>
      <c r="C40" s="33" t="s">
        <v>34</v>
      </c>
      <c r="D40" s="36" t="s">
        <v>57</v>
      </c>
      <c r="E40" s="33" t="s">
        <v>150</v>
      </c>
      <c r="F40" s="61"/>
      <c r="G40" s="61"/>
      <c r="H40" s="61"/>
      <c r="I40" s="61"/>
      <c r="J40" s="61"/>
      <c r="K40" s="61"/>
      <c r="L40" s="61"/>
      <c r="M40" s="61"/>
    </row>
    <row r="41" customFormat="false" ht="14.25" hidden="false" customHeight="false" outlineLevel="0" collapsed="false">
      <c r="A41" s="36" t="s">
        <v>152</v>
      </c>
      <c r="B41" s="61" t="n">
        <v>1</v>
      </c>
      <c r="C41" s="33" t="s">
        <v>34</v>
      </c>
      <c r="D41" s="36" t="s">
        <v>57</v>
      </c>
      <c r="E41" s="33" t="s">
        <v>153</v>
      </c>
      <c r="F41" s="61"/>
      <c r="G41" s="61"/>
      <c r="H41" s="61"/>
      <c r="I41" s="61"/>
      <c r="J41" s="61"/>
      <c r="K41" s="61"/>
      <c r="L41" s="61"/>
      <c r="M41" s="37"/>
    </row>
    <row r="42" customFormat="false" ht="14.25" hidden="false" customHeight="false" outlineLevel="0" collapsed="false">
      <c r="A42" s="36" t="s">
        <v>154</v>
      </c>
      <c r="B42" s="61" t="n">
        <v>2</v>
      </c>
      <c r="C42" s="33" t="s">
        <v>34</v>
      </c>
      <c r="D42" s="36" t="s">
        <v>57</v>
      </c>
      <c r="E42" s="33" t="s">
        <v>153</v>
      </c>
      <c r="F42" s="61"/>
      <c r="G42" s="61"/>
      <c r="H42" s="61"/>
      <c r="I42" s="61"/>
      <c r="J42" s="61"/>
      <c r="K42" s="61"/>
      <c r="L42" s="61"/>
      <c r="M42" s="37"/>
    </row>
    <row r="43" customFormat="false" ht="14.25" hidden="false" customHeight="false" outlineLevel="0" collapsed="false">
      <c r="A43" s="36" t="s">
        <v>155</v>
      </c>
      <c r="B43" s="61" t="n">
        <v>2</v>
      </c>
      <c r="C43" s="33" t="s">
        <v>34</v>
      </c>
      <c r="D43" s="36" t="s">
        <v>57</v>
      </c>
      <c r="E43" s="33" t="s">
        <v>153</v>
      </c>
      <c r="F43" s="61"/>
      <c r="G43" s="61"/>
      <c r="H43" s="61"/>
      <c r="I43" s="61"/>
      <c r="J43" s="61"/>
      <c r="K43" s="61"/>
      <c r="L43" s="61"/>
      <c r="M43" s="37"/>
    </row>
    <row r="44" customFormat="false" ht="14.25" hidden="false" customHeight="false" outlineLevel="0" collapsed="false">
      <c r="A44" s="36" t="s">
        <v>156</v>
      </c>
      <c r="B44" s="61" t="n">
        <v>2</v>
      </c>
      <c r="C44" s="33" t="s">
        <v>34</v>
      </c>
      <c r="D44" s="36" t="s">
        <v>57</v>
      </c>
      <c r="E44" s="33" t="s">
        <v>153</v>
      </c>
      <c r="F44" s="61"/>
      <c r="G44" s="61"/>
      <c r="H44" s="61"/>
      <c r="I44" s="61"/>
      <c r="J44" s="61"/>
      <c r="K44" s="61"/>
      <c r="L44" s="61"/>
      <c r="M44" s="37"/>
    </row>
    <row r="45" customFormat="false" ht="14.25" hidden="false" customHeight="false" outlineLevel="0" collapsed="false">
      <c r="A45" s="36" t="s">
        <v>157</v>
      </c>
      <c r="B45" s="61" t="n">
        <v>3</v>
      </c>
      <c r="C45" s="33" t="s">
        <v>34</v>
      </c>
      <c r="D45" s="36" t="s">
        <v>57</v>
      </c>
      <c r="E45" s="33" t="s">
        <v>114</v>
      </c>
      <c r="F45" s="61"/>
      <c r="G45" s="61"/>
      <c r="H45" s="61"/>
      <c r="I45" s="61"/>
      <c r="J45" s="61"/>
      <c r="K45" s="61"/>
      <c r="L45" s="61"/>
      <c r="M45" s="37"/>
    </row>
    <row r="46" customFormat="false" ht="14.25" hidden="false" customHeight="false" outlineLevel="0" collapsed="false">
      <c r="A46" s="36" t="s">
        <v>158</v>
      </c>
      <c r="B46" s="61" t="n">
        <v>4</v>
      </c>
      <c r="C46" s="33" t="s">
        <v>34</v>
      </c>
      <c r="D46" s="36" t="s">
        <v>57</v>
      </c>
      <c r="E46" s="33" t="s">
        <v>114</v>
      </c>
      <c r="F46" s="61"/>
      <c r="G46" s="61"/>
      <c r="H46" s="61"/>
      <c r="I46" s="61"/>
      <c r="J46" s="61"/>
      <c r="K46" s="61"/>
      <c r="L46" s="61"/>
      <c r="M46" s="37"/>
    </row>
    <row r="47" customFormat="false" ht="14.25" hidden="false" customHeight="false" outlineLevel="0" collapsed="false">
      <c r="A47" s="36" t="s">
        <v>159</v>
      </c>
      <c r="B47" s="61" t="n">
        <v>1</v>
      </c>
      <c r="C47" s="33" t="s">
        <v>34</v>
      </c>
      <c r="D47" s="36" t="s">
        <v>57</v>
      </c>
      <c r="E47" s="33" t="s">
        <v>114</v>
      </c>
      <c r="F47" s="61"/>
      <c r="G47" s="61"/>
      <c r="H47" s="61"/>
      <c r="I47" s="61"/>
      <c r="J47" s="61"/>
      <c r="K47" s="61"/>
      <c r="L47" s="61"/>
      <c r="M47" s="37"/>
    </row>
    <row r="48" customFormat="false" ht="14.25" hidden="false" customHeight="false" outlineLevel="0" collapsed="false">
      <c r="A48" s="36" t="s">
        <v>160</v>
      </c>
      <c r="B48" s="61" t="n">
        <v>2</v>
      </c>
      <c r="C48" s="33" t="s">
        <v>34</v>
      </c>
      <c r="D48" s="36" t="s">
        <v>57</v>
      </c>
      <c r="E48" s="33" t="s">
        <v>114</v>
      </c>
      <c r="F48" s="61"/>
      <c r="G48" s="61"/>
      <c r="H48" s="61"/>
      <c r="I48" s="61"/>
      <c r="J48" s="61"/>
      <c r="K48" s="61"/>
      <c r="L48" s="61"/>
      <c r="M48" s="37"/>
    </row>
    <row r="49" customFormat="false" ht="14.25" hidden="false" customHeight="false" outlineLevel="0" collapsed="false">
      <c r="A49" s="36" t="s">
        <v>161</v>
      </c>
      <c r="B49" s="61" t="n">
        <v>2</v>
      </c>
      <c r="C49" s="33" t="s">
        <v>34</v>
      </c>
      <c r="D49" s="36" t="s">
        <v>57</v>
      </c>
      <c r="E49" s="33" t="s">
        <v>27</v>
      </c>
      <c r="F49" s="61"/>
      <c r="G49" s="61"/>
      <c r="H49" s="61"/>
      <c r="I49" s="61"/>
      <c r="J49" s="61"/>
      <c r="K49" s="61"/>
      <c r="L49" s="61"/>
      <c r="M49" s="37"/>
    </row>
    <row r="50" customFormat="false" ht="15.65" hidden="false" customHeight="false" outlineLevel="0" collapsed="false">
      <c r="A50" s="36" t="s">
        <v>162</v>
      </c>
      <c r="B50" s="61" t="n">
        <v>7</v>
      </c>
      <c r="C50" s="33" t="s">
        <v>163</v>
      </c>
      <c r="D50" s="20" t="s">
        <v>164</v>
      </c>
      <c r="E50" s="33" t="s">
        <v>150</v>
      </c>
      <c r="F50" s="61"/>
      <c r="G50" s="61"/>
      <c r="H50" s="61"/>
      <c r="I50" s="61"/>
      <c r="J50" s="61"/>
      <c r="K50" s="61"/>
      <c r="L50" s="61"/>
      <c r="M50" s="33" t="s">
        <v>165</v>
      </c>
    </row>
    <row r="51" customFormat="false" ht="14.25" hidden="false" customHeight="false" outlineLevel="0" collapsed="false">
      <c r="A51" s="36" t="s">
        <v>166</v>
      </c>
      <c r="B51" s="61" t="n">
        <v>3</v>
      </c>
      <c r="C51" s="33" t="s">
        <v>163</v>
      </c>
      <c r="D51" s="20" t="s">
        <v>164</v>
      </c>
      <c r="E51" s="33" t="s">
        <v>150</v>
      </c>
      <c r="F51" s="61"/>
      <c r="G51" s="61"/>
      <c r="H51" s="61"/>
      <c r="I51" s="61"/>
      <c r="J51" s="61"/>
      <c r="K51" s="61"/>
      <c r="L51" s="61"/>
      <c r="M51" s="61"/>
    </row>
    <row r="52" customFormat="false" ht="15.65" hidden="false" customHeight="false" outlineLevel="0" collapsed="false">
      <c r="A52" s="63" t="s">
        <v>167</v>
      </c>
      <c r="B52" s="64" t="n">
        <v>5</v>
      </c>
      <c r="C52" s="65" t="s">
        <v>15</v>
      </c>
      <c r="D52" s="65" t="s">
        <v>15</v>
      </c>
      <c r="E52" s="65" t="s">
        <v>150</v>
      </c>
      <c r="F52" s="16"/>
      <c r="G52" s="16"/>
      <c r="H52" s="16"/>
      <c r="I52" s="16"/>
      <c r="J52" s="16"/>
      <c r="K52" s="16"/>
      <c r="L52" s="16"/>
      <c r="M52" s="16"/>
    </row>
    <row r="53" customFormat="false" ht="15.65" hidden="false" customHeight="false" outlineLevel="0" collapsed="false">
      <c r="A53" s="33" t="s">
        <v>168</v>
      </c>
      <c r="B53" s="61" t="n">
        <v>2</v>
      </c>
      <c r="C53" s="33" t="s">
        <v>14</v>
      </c>
      <c r="D53" s="36" t="s">
        <v>19</v>
      </c>
      <c r="E53" s="33" t="s">
        <v>103</v>
      </c>
      <c r="F53" s="61"/>
      <c r="G53" s="61"/>
      <c r="H53" s="61"/>
      <c r="I53" s="61"/>
      <c r="J53" s="61"/>
      <c r="K53" s="61"/>
      <c r="L53" s="61"/>
      <c r="M53" s="37"/>
    </row>
    <row r="54" customFormat="false" ht="14.25" hidden="false" customHeight="false" outlineLevel="0" collapsed="false">
      <c r="A54" s="66" t="s">
        <v>169</v>
      </c>
      <c r="B54" s="61" t="n">
        <v>3</v>
      </c>
      <c r="C54" s="33" t="s">
        <v>34</v>
      </c>
      <c r="D54" s="36" t="s">
        <v>19</v>
      </c>
      <c r="E54" s="33" t="s">
        <v>106</v>
      </c>
      <c r="F54" s="61"/>
      <c r="G54" s="61"/>
      <c r="H54" s="61"/>
      <c r="I54" s="61"/>
      <c r="J54" s="61"/>
      <c r="K54" s="61"/>
      <c r="L54" s="61"/>
      <c r="M54" s="61"/>
    </row>
    <row r="55" customFormat="false" ht="14.25" hidden="false" customHeight="false" outlineLevel="0" collapsed="false">
      <c r="A55" s="36" t="s">
        <v>170</v>
      </c>
      <c r="B55" s="61" t="n">
        <v>4</v>
      </c>
      <c r="C55" s="33" t="s">
        <v>14</v>
      </c>
      <c r="D55" s="20" t="s">
        <v>171</v>
      </c>
      <c r="E55" s="33" t="s">
        <v>153</v>
      </c>
      <c r="F55" s="61"/>
      <c r="G55" s="61"/>
      <c r="H55" s="61"/>
      <c r="I55" s="61"/>
      <c r="J55" s="61"/>
      <c r="K55" s="61"/>
      <c r="L55" s="61"/>
      <c r="M55" s="37"/>
    </row>
    <row r="56" customFormat="false" ht="14.25" hidden="false" customHeight="false" outlineLevel="0" collapsed="false">
      <c r="A56" s="36" t="s">
        <v>172</v>
      </c>
      <c r="B56" s="61" t="n">
        <v>14</v>
      </c>
      <c r="C56" s="33" t="s">
        <v>34</v>
      </c>
      <c r="D56" s="20" t="s">
        <v>171</v>
      </c>
      <c r="E56" s="33" t="s">
        <v>150</v>
      </c>
      <c r="F56" s="61"/>
      <c r="G56" s="61"/>
      <c r="H56" s="61"/>
      <c r="I56" s="61"/>
      <c r="J56" s="61"/>
      <c r="K56" s="61"/>
      <c r="L56" s="61"/>
      <c r="M56" s="61"/>
    </row>
    <row r="57" customFormat="false" ht="14.25" hidden="false" customHeight="fals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37"/>
    </row>
    <row r="58" customFormat="false" ht="14.25" hidden="false" customHeight="false" outlineLevel="0" collapsed="false">
      <c r="A58" s="49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50"/>
    </row>
    <row r="59" customFormat="false" ht="14.25" hidden="false" customHeight="false" outlineLevel="0" collapsed="false">
      <c r="A59" s="36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37"/>
    </row>
    <row r="60" customFormat="false" ht="14.25" hidden="false" customHeight="false" outlineLevel="0" collapsed="false">
      <c r="A60" s="36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37"/>
    </row>
    <row r="61" s="54" customFormat="true" ht="14.25" hidden="false" customHeight="false" outlineLevel="0" collapsed="false">
      <c r="A61" s="36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37"/>
    </row>
    <row r="62" customFormat="false" ht="14.25" hidden="false" customHeight="false" outlineLevel="0" collapsed="false">
      <c r="A62" s="67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3"/>
    </row>
    <row r="63" customFormat="false" ht="14.25" hidden="false" customHeight="false" outlineLevel="0" collapsed="false">
      <c r="A63" s="36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37"/>
    </row>
    <row r="64" customFormat="false" ht="14.25" hidden="false" customHeight="false" outlineLevel="0" collapsed="false">
      <c r="A64" s="36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37"/>
    </row>
    <row r="65" customFormat="false" ht="14.25" hidden="false" customHeight="false" outlineLevel="0" collapsed="false">
      <c r="A65" s="36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37"/>
    </row>
    <row r="66" customFormat="false" ht="14.25" hidden="false" customHeight="false" outlineLevel="0" collapsed="false">
      <c r="A66" s="36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37"/>
    </row>
    <row r="67" customFormat="false" ht="14.25" hidden="false" customHeight="false" outlineLevel="0" collapsed="false">
      <c r="A67" s="36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37"/>
    </row>
    <row r="68" customFormat="false" ht="14.25" hidden="false" customHeight="false" outlineLevel="0" collapsed="false">
      <c r="A68" s="36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37"/>
    </row>
    <row r="69" customFormat="false" ht="14.25" hidden="false" customHeight="false" outlineLevel="0" collapsed="false">
      <c r="A69" s="36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37"/>
    </row>
    <row r="70" customFormat="false" ht="14.25" hidden="false" customHeight="false" outlineLevel="0" collapsed="false">
      <c r="A70" s="36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37"/>
    </row>
    <row r="71" customFormat="false" ht="14.25" hidden="false" customHeight="false" outlineLevel="0" collapsed="false">
      <c r="A71" s="36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37"/>
    </row>
    <row r="72" customFormat="false" ht="14.25" hidden="false" customHeight="false" outlineLevel="0" collapsed="false">
      <c r="A72" s="36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37"/>
    </row>
    <row r="73" customFormat="false" ht="14.25" hidden="false" customHeight="false" outlineLevel="0" collapsed="false">
      <c r="A73" s="36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37"/>
    </row>
    <row r="74" customFormat="false" ht="14.25" hidden="false" customHeight="false" outlineLevel="0" collapsed="false">
      <c r="A74" s="36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37"/>
    </row>
    <row r="75" customFormat="false" ht="14.25" hidden="false" customHeight="false" outlineLevel="0" collapsed="false">
      <c r="A75" s="36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37"/>
    </row>
    <row r="76" customFormat="false" ht="14.25" hidden="false" customHeight="false" outlineLevel="0" collapsed="false">
      <c r="A76" s="36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37"/>
    </row>
    <row r="77" customFormat="false" ht="14.25" hidden="false" customHeight="false" outlineLevel="0" collapsed="false">
      <c r="A77" s="36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37"/>
    </row>
    <row r="78" customFormat="false" ht="14.25" hidden="false" customHeight="false" outlineLevel="0" collapsed="false">
      <c r="A78" s="36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37"/>
    </row>
    <row r="79" customFormat="false" ht="14.25" hidden="false" customHeight="false" outlineLevel="0" collapsed="false">
      <c r="A79" s="36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37"/>
    </row>
    <row r="80" customFormat="false" ht="14.25" hidden="false" customHeight="false" outlineLevel="0" collapsed="false">
      <c r="A80" s="36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37"/>
    </row>
    <row r="81" customFormat="false" ht="14.25" hidden="false" customHeight="false" outlineLevel="0" collapsed="false">
      <c r="A81" s="36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37"/>
    </row>
    <row r="82" customFormat="false" ht="14.25" hidden="false" customHeight="false" outlineLevel="0" collapsed="false">
      <c r="A82" s="36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37"/>
    </row>
    <row r="83" customFormat="false" ht="14.25" hidden="false" customHeight="false" outlineLevel="0" collapsed="false">
      <c r="A83" s="36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37"/>
    </row>
    <row r="84" s="54" customFormat="true" ht="14.25" hidden="false" customHeight="false" outlineLevel="0" collapsed="false">
      <c r="A84" s="36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37"/>
    </row>
    <row r="85" customFormat="false" ht="14.25" hidden="false" customHeight="false" outlineLevel="0" collapsed="false">
      <c r="A85" s="67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3"/>
    </row>
    <row r="86" customFormat="false" ht="14.25" hidden="false" customHeight="false" outlineLevel="0" collapsed="false">
      <c r="A86" s="36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37"/>
    </row>
    <row r="87" customFormat="false" ht="14.25" hidden="false" customHeight="false" outlineLevel="0" collapsed="false">
      <c r="A87" s="36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37"/>
    </row>
    <row r="88" customFormat="false" ht="14.25" hidden="false" customHeight="false" outlineLevel="0" collapsed="false">
      <c r="A88" s="36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37"/>
    </row>
    <row r="89" customFormat="false" ht="14.25" hidden="false" customHeight="false" outlineLevel="0" collapsed="false">
      <c r="A89" s="36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37"/>
    </row>
    <row r="90" customFormat="false" ht="14.25" hidden="false" customHeight="false" outlineLevel="0" collapsed="false">
      <c r="A90" s="36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37"/>
    </row>
    <row r="91" customFormat="false" ht="14.25" hidden="false" customHeight="false" outlineLevel="0" collapsed="false">
      <c r="A91" s="36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37"/>
    </row>
    <row r="92" customFormat="false" ht="14.25" hidden="false" customHeight="false" outlineLevel="0" collapsed="false">
      <c r="A92" s="36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37"/>
    </row>
    <row r="93" customFormat="false" ht="14.25" hidden="false" customHeight="false" outlineLevel="0" collapsed="false">
      <c r="A93" s="36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37"/>
    </row>
    <row r="94" customFormat="false" ht="14.25" hidden="false" customHeight="false" outlineLevel="0" collapsed="false">
      <c r="A94" s="36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37"/>
    </row>
    <row r="95" customFormat="false" ht="14.25" hidden="false" customHeight="fals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</row>
    <row r="96" customFormat="false" ht="14.25" hidden="false" customHeight="fals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</row>
    <row r="97" customFormat="false" ht="14.25" hidden="false" customHeight="fals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</row>
    <row r="98" customFormat="false" ht="14.25" hidden="false" customHeight="fals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</row>
    <row r="99" customFormat="false" ht="14.25" hidden="false" customHeight="fals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</row>
    <row r="100" customFormat="false" ht="14.25" hidden="false" customHeight="fals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</row>
    <row r="101" customFormat="false" ht="14.25" hidden="false" customHeight="fals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</row>
    <row r="102" customFormat="false" ht="14.25" hidden="false" customHeight="fals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</row>
    <row r="103" customFormat="false" ht="14.25" hidden="false" customHeight="fals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</row>
    <row r="104" customFormat="false" ht="14.25" hidden="false" customHeight="fals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</row>
    <row r="105" customFormat="false" ht="14.25" hidden="false" customHeight="fals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</row>
    <row r="107" customFormat="false" ht="14.25" hidden="false" customHeight="false" outlineLevel="0" collapsed="false">
      <c r="A107" s="56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37"/>
    </row>
    <row r="108" customFormat="false" ht="14.25" hidden="false" customHeight="false" outlineLevel="0" collapsed="false">
      <c r="A108" s="68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37"/>
    </row>
    <row r="109" customFormat="false" ht="14.25" hidden="false" customHeight="false" outlineLevel="0" collapsed="false">
      <c r="A109" s="68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37"/>
    </row>
    <row r="110" customFormat="false" ht="14.25" hidden="false" customHeight="false" outlineLevel="0" collapsed="false">
      <c r="A110" s="68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37"/>
    </row>
    <row r="111" customFormat="false" ht="14.25" hidden="false" customHeight="false" outlineLevel="0" collapsed="false">
      <c r="A111" s="68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37"/>
    </row>
    <row r="112" customFormat="false" ht="14.25" hidden="false" customHeight="false" outlineLevel="0" collapsed="false">
      <c r="A112" s="68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37"/>
    </row>
    <row r="113" customFormat="false" ht="14.25" hidden="false" customHeight="false" outlineLevel="0" collapsed="false">
      <c r="A113" s="68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37"/>
    </row>
    <row r="114" customFormat="false" ht="14.25" hidden="false" customHeight="false" outlineLevel="0" collapsed="false">
      <c r="A114" s="68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37"/>
    </row>
    <row r="115" customFormat="false" ht="14.25" hidden="false" customHeight="false" outlineLevel="0" collapsed="false">
      <c r="A115" s="68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37"/>
    </row>
    <row r="116" customFormat="false" ht="14.25" hidden="false" customHeight="false" outlineLevel="0" collapsed="false">
      <c r="A116" s="68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37"/>
    </row>
    <row r="117" customFormat="false" ht="14.25" hidden="false" customHeight="false" outlineLevel="0" collapsed="false">
      <c r="A117" s="68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37"/>
    </row>
    <row r="118" customFormat="false" ht="14.25" hidden="false" customHeight="false" outlineLevel="0" collapsed="false">
      <c r="A118" s="68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37"/>
    </row>
    <row r="119" customFormat="false" ht="14.25" hidden="false" customHeight="false" outlineLevel="0" collapsed="false">
      <c r="A119" s="68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37"/>
    </row>
    <row r="120" customFormat="false" ht="14.25" hidden="false" customHeight="false" outlineLevel="0" collapsed="false">
      <c r="A120" s="68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37"/>
    </row>
    <row r="121" customFormat="false" ht="14.25" hidden="false" customHeight="false" outlineLevel="0" collapsed="false">
      <c r="A121" s="68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37"/>
    </row>
    <row r="122" customFormat="false" ht="14.25" hidden="false" customHeight="false" outlineLevel="0" collapsed="false">
      <c r="A122" s="56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37"/>
    </row>
    <row r="123" customFormat="false" ht="14.25" hidden="false" customHeight="false" outlineLevel="0" collapsed="false">
      <c r="A123" s="67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3"/>
    </row>
    <row r="124" customFormat="false" ht="14.25" hidden="false" customHeight="false" outlineLevel="0" collapsed="false">
      <c r="A124" s="47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48"/>
    </row>
    <row r="125" customFormat="false" ht="14.25" hidden="false" customHeight="false" outlineLevel="0" collapsed="false">
      <c r="A125" s="36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37"/>
    </row>
    <row r="126" customFormat="false" ht="14.25" hidden="false" customHeight="false" outlineLevel="0" collapsed="false">
      <c r="A126" s="36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37"/>
    </row>
    <row r="127" s="54" customFormat="true" ht="14.25" hidden="false" customHeight="false" outlineLevel="0" collapsed="false">
      <c r="A127" s="36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37"/>
    </row>
    <row r="128" customFormat="false" ht="14.25" hidden="false" customHeight="false" outlineLevel="0" collapsed="false">
      <c r="A128" s="49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50"/>
    </row>
    <row r="129" customFormat="false" ht="14.25" hidden="false" customHeight="false" outlineLevel="0" collapsed="false">
      <c r="A129" s="36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37"/>
    </row>
    <row r="130" customFormat="false" ht="14.25" hidden="false" customHeight="false" outlineLevel="0" collapsed="false">
      <c r="A130" s="36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37"/>
    </row>
    <row r="131" customFormat="false" ht="14.25" hidden="false" customHeight="false" outlineLevel="0" collapsed="false">
      <c r="A131" s="36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37"/>
    </row>
    <row r="132" customFormat="false" ht="14.25" hidden="false" customHeight="false" outlineLevel="0" collapsed="false">
      <c r="A132" s="47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48"/>
    </row>
    <row r="133" customFormat="false" ht="14.25" hidden="false" customHeight="false" outlineLevel="0" collapsed="false">
      <c r="A133" s="36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37"/>
    </row>
    <row r="134" customFormat="false" ht="14.25" hidden="false" customHeight="false" outlineLevel="0" collapsed="false">
      <c r="A134" s="36"/>
      <c r="B134" s="31"/>
      <c r="C134" s="31"/>
      <c r="D134" s="31"/>
      <c r="E134" s="42"/>
      <c r="F134" s="61"/>
      <c r="G134" s="61"/>
      <c r="H134" s="61"/>
      <c r="I134" s="61"/>
      <c r="J134" s="61"/>
      <c r="K134" s="61"/>
      <c r="L134" s="61"/>
      <c r="M134" s="37"/>
    </row>
    <row r="135" customFormat="false" ht="14.25" hidden="false" customHeight="false" outlineLevel="0" collapsed="false">
      <c r="A135" s="36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37"/>
    </row>
    <row r="136" customFormat="false" ht="14.25" hidden="false" customHeight="false" outlineLevel="0" collapsed="false">
      <c r="A136" s="49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50"/>
    </row>
    <row r="137" customFormat="false" ht="14.25" hidden="false" customHeight="false" outlineLevel="0" collapsed="false">
      <c r="A137" s="36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37"/>
    </row>
    <row r="138" customFormat="false" ht="14.25" hidden="false" customHeight="false" outlineLevel="0" collapsed="false">
      <c r="A138" s="36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37"/>
    </row>
    <row r="139" customFormat="false" ht="14.25" hidden="false" customHeight="false" outlineLevel="0" collapsed="false">
      <c r="A139" s="36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37"/>
    </row>
    <row r="140" customFormat="false" ht="14.25" hidden="false" customHeight="false" outlineLevel="0" collapsed="false">
      <c r="A140" s="36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37"/>
    </row>
    <row r="141" customFormat="false" ht="14.25" hidden="false" customHeight="false" outlineLevel="0" collapsed="false">
      <c r="A141" s="36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37"/>
    </row>
    <row r="142" customFormat="false" ht="14.25" hidden="false" customHeight="false" outlineLevel="0" collapsed="false">
      <c r="A142" s="36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37"/>
    </row>
    <row r="143" customFormat="false" ht="14.25" hidden="false" customHeight="false" outlineLevel="0" collapsed="false">
      <c r="A143" s="36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37"/>
    </row>
    <row r="144" customFormat="false" ht="14.25" hidden="false" customHeight="false" outlineLevel="0" collapsed="false">
      <c r="A144" s="36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37"/>
    </row>
    <row r="145" customFormat="false" ht="14.25" hidden="false" customHeight="false" outlineLevel="0" collapsed="false">
      <c r="A145" s="36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37"/>
    </row>
    <row r="146" customFormat="false" ht="14.25" hidden="false" customHeight="false" outlineLevel="0" collapsed="false">
      <c r="A146" s="36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37"/>
    </row>
    <row r="147" customFormat="false" ht="14.25" hidden="false" customHeight="false" outlineLevel="0" collapsed="false">
      <c r="A147" s="36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37"/>
    </row>
    <row r="148" customFormat="false" ht="14.25" hidden="false" customHeight="false" outlineLevel="0" collapsed="false">
      <c r="A148" s="36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37"/>
    </row>
    <row r="149" customFormat="false" ht="14.25" hidden="false" customHeight="false" outlineLevel="0" collapsed="false">
      <c r="A149" s="36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37"/>
    </row>
    <row r="150" customFormat="false" ht="14.25" hidden="false" customHeight="false" outlineLevel="0" collapsed="false">
      <c r="A150" s="36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37"/>
    </row>
    <row r="151" customFormat="false" ht="14.25" hidden="false" customHeight="false" outlineLevel="0" collapsed="false">
      <c r="A151" s="36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37"/>
    </row>
    <row r="152" customFormat="false" ht="14.25" hidden="false" customHeight="false" outlineLevel="0" collapsed="false">
      <c r="A152" s="36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37"/>
    </row>
    <row r="153" customFormat="false" ht="14.25" hidden="false" customHeight="false" outlineLevel="0" collapsed="false">
      <c r="A153" s="36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37"/>
    </row>
    <row r="154" customFormat="false" ht="14.25" hidden="false" customHeight="false" outlineLevel="0" collapsed="false">
      <c r="A154" s="36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37"/>
    </row>
    <row r="155" customFormat="false" ht="14.25" hidden="false" customHeight="false" outlineLevel="0" collapsed="false">
      <c r="A155" s="36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37"/>
    </row>
    <row r="156" customFormat="false" ht="14.25" hidden="false" customHeight="false" outlineLevel="0" collapsed="false">
      <c r="A156" s="36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37"/>
    </row>
    <row r="157" customFormat="false" ht="14.25" hidden="false" customHeight="false" outlineLevel="0" collapsed="false">
      <c r="A157" s="36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37"/>
    </row>
    <row r="158" customFormat="false" ht="14.25" hidden="false" customHeight="false" outlineLevel="0" collapsed="false">
      <c r="A158" s="36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37"/>
    </row>
    <row r="159" customFormat="false" ht="14.25" hidden="false" customHeight="false" outlineLevel="0" collapsed="false">
      <c r="A159" s="36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37"/>
    </row>
    <row r="160" customFormat="false" ht="14.25" hidden="false" customHeight="false" outlineLevel="0" collapsed="false">
      <c r="A160" s="47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48"/>
    </row>
    <row r="161" customFormat="false" ht="14.25" hidden="false" customHeight="false" outlineLevel="0" collapsed="false">
      <c r="A161" s="36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37"/>
    </row>
    <row r="162" customFormat="false" ht="14.25" hidden="false" customHeight="false" outlineLevel="0" collapsed="false">
      <c r="A162" s="36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37"/>
    </row>
    <row r="163" customFormat="false" ht="14.25" hidden="false" customHeight="false" outlineLevel="0" collapsed="false">
      <c r="A163" s="36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37"/>
    </row>
    <row r="164" customFormat="false" ht="14.25" hidden="false" customHeight="false" outlineLevel="0" collapsed="false">
      <c r="A164" s="49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50"/>
    </row>
    <row r="165" customFormat="false" ht="14.25" hidden="false" customHeight="false" outlineLevel="0" collapsed="false">
      <c r="A165" s="36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37"/>
    </row>
    <row r="166" customFormat="false" ht="14.25" hidden="false" customHeight="false" outlineLevel="0" collapsed="false">
      <c r="A166" s="67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3"/>
    </row>
    <row r="167" customFormat="false" ht="14.25" hidden="false" customHeight="false" outlineLevel="0" collapsed="false">
      <c r="A167" s="36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37"/>
    </row>
    <row r="168" customFormat="false" ht="14.25" hidden="false" customHeight="false" outlineLevel="0" collapsed="false">
      <c r="A168" s="36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37"/>
    </row>
    <row r="169" customFormat="false" ht="14.25" hidden="false" customHeight="false" outlineLevel="0" collapsed="false">
      <c r="A169" s="47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48"/>
    </row>
    <row r="170" customFormat="false" ht="14.25" hidden="false" customHeight="false" outlineLevel="0" collapsed="false">
      <c r="A170" s="36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37"/>
    </row>
    <row r="171" customFormat="false" ht="14.25" hidden="false" customHeight="false" outlineLevel="0" collapsed="false">
      <c r="A171" s="36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37"/>
    </row>
    <row r="172" customFormat="false" ht="14.25" hidden="false" customHeight="false" outlineLevel="0" collapsed="false">
      <c r="A172" s="36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37"/>
    </row>
    <row r="173" customFormat="false" ht="14.25" hidden="false" customHeight="false" outlineLevel="0" collapsed="false">
      <c r="A173" s="49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50"/>
    </row>
    <row r="174" customFormat="false" ht="14.25" hidden="false" customHeight="false" outlineLevel="0" collapsed="false">
      <c r="A174" s="36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37"/>
    </row>
    <row r="175" customFormat="false" ht="14.25" hidden="false" customHeight="false" outlineLevel="0" collapsed="false">
      <c r="A175" s="36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37"/>
    </row>
    <row r="176" customFormat="false" ht="14.25" hidden="false" customHeight="false" outlineLevel="0" collapsed="false">
      <c r="A176" s="36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37"/>
    </row>
    <row r="177" customFormat="false" ht="14.25" hidden="false" customHeight="false" outlineLevel="0" collapsed="false">
      <c r="A177" s="36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37"/>
    </row>
    <row r="178" customFormat="false" ht="14.25" hidden="false" customHeight="false" outlineLevel="0" collapsed="false">
      <c r="A178" s="36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37"/>
    </row>
    <row r="179" customFormat="false" ht="14.25" hidden="false" customHeight="false" outlineLevel="0" collapsed="false">
      <c r="A179" s="36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37"/>
    </row>
    <row r="180" customFormat="false" ht="14.25" hidden="false" customHeight="false" outlineLevel="0" collapsed="false">
      <c r="A180" s="36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37"/>
    </row>
    <row r="181" customFormat="false" ht="14.25" hidden="false" customHeight="false" outlineLevel="0" collapsed="false">
      <c r="A181" s="36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37"/>
    </row>
    <row r="182" customFormat="false" ht="14.25" hidden="false" customHeight="false" outlineLevel="0" collapsed="false">
      <c r="A182" s="36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37"/>
    </row>
    <row r="183" customFormat="false" ht="14.25" hidden="false" customHeight="false" outlineLevel="0" collapsed="false">
      <c r="A183" s="36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37"/>
    </row>
    <row r="184" customFormat="false" ht="14.25" hidden="false" customHeight="false" outlineLevel="0" collapsed="false">
      <c r="A184" s="36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37"/>
    </row>
    <row r="185" customFormat="false" ht="14.25" hidden="false" customHeight="false" outlineLevel="0" collapsed="false">
      <c r="A185" s="36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37"/>
    </row>
    <row r="186" customFormat="false" ht="14.25" hidden="false" customHeight="false" outlineLevel="0" collapsed="false">
      <c r="A186" s="36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37"/>
    </row>
    <row r="187" customFormat="false" ht="14.25" hidden="false" customHeight="false" outlineLevel="0" collapsed="false">
      <c r="A187" s="36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37"/>
    </row>
    <row r="188" customFormat="false" ht="14.25" hidden="false" customHeight="false" outlineLevel="0" collapsed="false">
      <c r="A188" s="36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37"/>
    </row>
    <row r="189" customFormat="false" ht="14.25" hidden="false" customHeight="false" outlineLevel="0" collapsed="false">
      <c r="A189" s="36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37"/>
    </row>
    <row r="190" customFormat="false" ht="14.25" hidden="false" customHeight="false" outlineLevel="0" collapsed="false">
      <c r="A190" s="36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37"/>
    </row>
    <row r="191" customFormat="false" ht="14.25" hidden="false" customHeight="false" outlineLevel="0" collapsed="false">
      <c r="A191" s="36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37"/>
    </row>
    <row r="192" customFormat="false" ht="14.25" hidden="false" customHeight="false" outlineLevel="0" collapsed="false">
      <c r="A192" s="36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37"/>
    </row>
    <row r="193" customFormat="false" ht="14.25" hidden="false" customHeight="false" outlineLevel="0" collapsed="false">
      <c r="A193" s="36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37"/>
    </row>
    <row r="194" customFormat="false" ht="14.25" hidden="false" customHeight="false" outlineLevel="0" collapsed="false">
      <c r="A194" s="36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37"/>
    </row>
    <row r="195" customFormat="false" ht="14.25" hidden="false" customHeight="false" outlineLevel="0" collapsed="false">
      <c r="A195" s="36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37"/>
    </row>
    <row r="196" customFormat="false" ht="14.25" hidden="false" customHeight="false" outlineLevel="0" collapsed="false">
      <c r="A196" s="36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37"/>
    </row>
    <row r="197" customFormat="false" ht="14.25" hidden="false" customHeight="false" outlineLevel="0" collapsed="false">
      <c r="A197" s="47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48"/>
    </row>
    <row r="198" customFormat="false" ht="14.25" hidden="false" customHeight="false" outlineLevel="0" collapsed="false">
      <c r="A198" s="36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37"/>
    </row>
    <row r="199" customFormat="false" ht="14.25" hidden="false" customHeight="false" outlineLevel="0" collapsed="false">
      <c r="A199" s="36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37"/>
    </row>
    <row r="200" customFormat="false" ht="14.25" hidden="false" customHeight="false" outlineLevel="0" collapsed="false">
      <c r="A200" s="36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37"/>
    </row>
    <row r="201" customFormat="false" ht="14.25" hidden="false" customHeight="false" outlineLevel="0" collapsed="false">
      <c r="A201" s="49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50"/>
    </row>
    <row r="202" customFormat="false" ht="14.25" hidden="false" customHeight="false" outlineLevel="0" collapsed="false">
      <c r="A202" s="36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37"/>
    </row>
    <row r="203" customFormat="false" ht="14.25" hidden="false" customHeight="false" outlineLevel="0" collapsed="false">
      <c r="A203" s="36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37"/>
    </row>
    <row r="204" customFormat="false" ht="14.25" hidden="false" customHeight="false" outlineLevel="0" collapsed="false">
      <c r="A204" s="36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37"/>
    </row>
    <row r="205" customFormat="false" ht="14.25" hidden="false" customHeight="false" outlineLevel="0" collapsed="false">
      <c r="A205" s="36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37"/>
    </row>
    <row r="206" customFormat="false" ht="14.25" hidden="false" customHeight="false" outlineLevel="0" collapsed="false">
      <c r="A206" s="47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48"/>
    </row>
    <row r="207" customFormat="false" ht="14.25" hidden="false" customHeight="false" outlineLevel="0" collapsed="false">
      <c r="A207" s="36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37"/>
    </row>
    <row r="208" customFormat="false" ht="14.25" hidden="false" customHeight="false" outlineLevel="0" collapsed="false">
      <c r="A208" s="36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37"/>
    </row>
    <row r="209" customFormat="false" ht="14.25" hidden="false" customHeight="false" outlineLevel="0" collapsed="false">
      <c r="A209" s="36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37"/>
    </row>
    <row r="210" customFormat="false" ht="14.25" hidden="false" customHeight="false" outlineLevel="0" collapsed="false">
      <c r="A210" s="49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50"/>
    </row>
    <row r="211" customFormat="false" ht="14.25" hidden="false" customHeight="false" outlineLevel="0" collapsed="false">
      <c r="A211" s="36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37"/>
    </row>
    <row r="212" customFormat="false" ht="14.25" hidden="false" customHeight="false" outlineLevel="0" collapsed="false">
      <c r="A212" s="36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37"/>
    </row>
    <row r="213" customFormat="false" ht="14.25" hidden="false" customHeight="false" outlineLevel="0" collapsed="false">
      <c r="A213" s="36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37"/>
    </row>
    <row r="214" customFormat="false" ht="14.25" hidden="false" customHeight="false" outlineLevel="0" collapsed="false">
      <c r="A214" s="36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37"/>
    </row>
    <row r="215" customFormat="false" ht="14.25" hidden="false" customHeight="false" outlineLevel="0" collapsed="false">
      <c r="A215" s="36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37"/>
    </row>
    <row r="216" customFormat="false" ht="14.25" hidden="false" customHeight="false" outlineLevel="0" collapsed="false">
      <c r="A216" s="36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37"/>
    </row>
    <row r="217" customFormat="false" ht="14.25" hidden="false" customHeight="false" outlineLevel="0" collapsed="false">
      <c r="A217" s="36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37"/>
    </row>
    <row r="218" customFormat="false" ht="14.25" hidden="false" customHeight="false" outlineLevel="0" collapsed="false">
      <c r="A218" s="36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37"/>
    </row>
    <row r="219" customFormat="false" ht="14.25" hidden="false" customHeight="false" outlineLevel="0" collapsed="false">
      <c r="A219" s="36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37"/>
    </row>
    <row r="220" customFormat="false" ht="14.25" hidden="false" customHeight="false" outlineLevel="0" collapsed="false">
      <c r="A220" s="36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37"/>
    </row>
    <row r="221" customFormat="false" ht="14.25" hidden="false" customHeight="false" outlineLevel="0" collapsed="false">
      <c r="A221" s="36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37"/>
    </row>
    <row r="222" customFormat="false" ht="14.25" hidden="false" customHeight="false" outlineLevel="0" collapsed="false">
      <c r="A222" s="36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37"/>
    </row>
    <row r="223" customFormat="false" ht="14.25" hidden="false" customHeight="false" outlineLevel="0" collapsed="false">
      <c r="A223" s="36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37"/>
    </row>
    <row r="224" customFormat="false" ht="14.25" hidden="false" customHeight="false" outlineLevel="0" collapsed="false">
      <c r="A224" s="36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37"/>
    </row>
    <row r="225" customFormat="false" ht="14.25" hidden="false" customHeight="false" outlineLevel="0" collapsed="false">
      <c r="A225" s="36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37"/>
    </row>
    <row r="226" customFormat="false" ht="14.25" hidden="false" customHeight="false" outlineLevel="0" collapsed="false">
      <c r="A226" s="36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37"/>
    </row>
    <row r="227" customFormat="false" ht="14.25" hidden="false" customHeight="false" outlineLevel="0" collapsed="false">
      <c r="A227" s="36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37"/>
    </row>
    <row r="228" customFormat="false" ht="14.25" hidden="false" customHeight="false" outlineLevel="0" collapsed="false">
      <c r="A228" s="36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37"/>
    </row>
    <row r="229" customFormat="false" ht="14.25" hidden="false" customHeight="false" outlineLevel="0" collapsed="false">
      <c r="A229" s="36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37"/>
    </row>
    <row r="230" customFormat="false" ht="14.25" hidden="false" customHeight="false" outlineLevel="0" collapsed="false">
      <c r="A230" s="36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37"/>
    </row>
    <row r="231" customFormat="false" ht="14.25" hidden="false" customHeight="false" outlineLevel="0" collapsed="false">
      <c r="A231" s="36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37"/>
    </row>
    <row r="232" customFormat="false" ht="14.25" hidden="false" customHeight="false" outlineLevel="0" collapsed="false">
      <c r="A232" s="36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37"/>
    </row>
    <row r="233" customFormat="false" ht="14.25" hidden="false" customHeight="false" outlineLevel="0" collapsed="false">
      <c r="A233" s="36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37"/>
    </row>
    <row r="234" customFormat="false" ht="14.25" hidden="false" customHeight="false" outlineLevel="0" collapsed="false">
      <c r="A234" s="47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48"/>
    </row>
    <row r="235" customFormat="false" ht="14.25" hidden="false" customHeight="false" outlineLevel="0" collapsed="false">
      <c r="A235" s="36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37"/>
    </row>
    <row r="236" customFormat="false" ht="14.25" hidden="false" customHeight="false" outlineLevel="0" collapsed="false">
      <c r="A236" s="36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37"/>
    </row>
    <row r="237" customFormat="false" ht="14.25" hidden="false" customHeight="false" outlineLevel="0" collapsed="false">
      <c r="A237" s="36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37"/>
    </row>
    <row r="238" customFormat="false" ht="14.25" hidden="false" customHeight="false" outlineLevel="0" collapsed="false">
      <c r="A238" s="49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50"/>
    </row>
    <row r="239" customFormat="false" ht="14.25" hidden="false" customHeight="false" outlineLevel="0" collapsed="false">
      <c r="A239" s="36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37"/>
    </row>
    <row r="240" customFormat="false" ht="14.25" hidden="false" customHeight="false" outlineLevel="0" collapsed="false">
      <c r="A240" s="36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37"/>
    </row>
    <row r="241" customFormat="false" ht="14.25" hidden="false" customHeight="false" outlineLevel="0" collapsed="false">
      <c r="A241" s="36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37"/>
    </row>
    <row r="242" customFormat="false" ht="14.25" hidden="false" customHeight="false" outlineLevel="0" collapsed="false">
      <c r="A242" s="36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37"/>
    </row>
    <row r="243" customFormat="false" ht="14.25" hidden="false" customHeight="false" outlineLevel="0" collapsed="false">
      <c r="A243" s="47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48"/>
    </row>
    <row r="244" customFormat="false" ht="14.25" hidden="false" customHeight="false" outlineLevel="0" collapsed="false">
      <c r="A244" s="36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37"/>
    </row>
    <row r="245" customFormat="false" ht="14.25" hidden="false" customHeight="false" outlineLevel="0" collapsed="false">
      <c r="A245" s="36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37"/>
    </row>
    <row r="246" customFormat="false" ht="14.25" hidden="false" customHeight="false" outlineLevel="0" collapsed="false">
      <c r="A246" s="36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37"/>
    </row>
    <row r="247" customFormat="false" ht="14.25" hidden="false" customHeight="false" outlineLevel="0" collapsed="false">
      <c r="A247" s="49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50"/>
    </row>
    <row r="248" customFormat="false" ht="14.25" hidden="false" customHeight="false" outlineLevel="0" collapsed="false">
      <c r="A248" s="36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37"/>
    </row>
    <row r="249" customFormat="false" ht="14.25" hidden="false" customHeight="false" outlineLevel="0" collapsed="false">
      <c r="A249" s="36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37"/>
    </row>
    <row r="250" customFormat="false" ht="14.25" hidden="false" customHeight="false" outlineLevel="0" collapsed="false">
      <c r="A250" s="36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37"/>
    </row>
    <row r="251" customFormat="false" ht="14.25" hidden="false" customHeight="false" outlineLevel="0" collapsed="false">
      <c r="A251" s="36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37"/>
    </row>
    <row r="252" customFormat="false" ht="14.25" hidden="false" customHeight="false" outlineLevel="0" collapsed="false">
      <c r="A252" s="36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37"/>
    </row>
    <row r="253" customFormat="false" ht="14.25" hidden="false" customHeight="false" outlineLevel="0" collapsed="false">
      <c r="A253" s="36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37"/>
    </row>
    <row r="254" customFormat="false" ht="14.25" hidden="false" customHeight="false" outlineLevel="0" collapsed="false">
      <c r="A254" s="36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37"/>
    </row>
    <row r="255" customFormat="false" ht="14.25" hidden="false" customHeight="false" outlineLevel="0" collapsed="false">
      <c r="A255" s="36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37"/>
    </row>
    <row r="256" customFormat="false" ht="14.25" hidden="false" customHeight="false" outlineLevel="0" collapsed="false">
      <c r="A256" s="36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37"/>
    </row>
    <row r="257" customFormat="false" ht="14.25" hidden="false" customHeight="false" outlineLevel="0" collapsed="false">
      <c r="A257" s="36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37"/>
    </row>
    <row r="258" customFormat="false" ht="14.25" hidden="false" customHeight="false" outlineLevel="0" collapsed="false">
      <c r="A258" s="36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37"/>
    </row>
    <row r="259" customFormat="false" ht="14.25" hidden="false" customHeight="false" outlineLevel="0" collapsed="false">
      <c r="A259" s="36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37"/>
    </row>
    <row r="260" customFormat="false" ht="14.25" hidden="false" customHeight="false" outlineLevel="0" collapsed="false">
      <c r="A260" s="36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37"/>
    </row>
    <row r="261" customFormat="false" ht="14.25" hidden="false" customHeight="false" outlineLevel="0" collapsed="false">
      <c r="A261" s="36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37"/>
    </row>
    <row r="262" customFormat="false" ht="14.25" hidden="false" customHeight="false" outlineLevel="0" collapsed="false">
      <c r="A262" s="36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37"/>
    </row>
    <row r="263" customFormat="false" ht="14.25" hidden="false" customHeight="false" outlineLevel="0" collapsed="false">
      <c r="A263" s="36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37"/>
    </row>
    <row r="264" customFormat="false" ht="14.25" hidden="false" customHeight="false" outlineLevel="0" collapsed="false">
      <c r="A264" s="36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37"/>
    </row>
    <row r="265" customFormat="false" ht="14.25" hidden="false" customHeight="false" outlineLevel="0" collapsed="false">
      <c r="A265" s="36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37"/>
    </row>
    <row r="266" customFormat="false" ht="14.25" hidden="false" customHeight="false" outlineLevel="0" collapsed="false">
      <c r="A266" s="36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37"/>
    </row>
    <row r="267" customFormat="false" ht="14.25" hidden="false" customHeight="false" outlineLevel="0" collapsed="false">
      <c r="A267" s="36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37"/>
    </row>
    <row r="268" customFormat="false" ht="14.25" hidden="false" customHeight="false" outlineLevel="0" collapsed="false">
      <c r="A268" s="36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37"/>
    </row>
    <row r="269" customFormat="false" ht="14.25" hidden="false" customHeight="false" outlineLevel="0" collapsed="false">
      <c r="A269" s="36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37"/>
    </row>
    <row r="270" customFormat="false" ht="14.25" hidden="false" customHeight="false" outlineLevel="0" collapsed="false">
      <c r="A270" s="36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37"/>
    </row>
    <row r="271" customFormat="false" ht="14.25" hidden="false" customHeight="false" outlineLevel="0" collapsed="false">
      <c r="A271" s="47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48"/>
    </row>
    <row r="272" customFormat="false" ht="14.25" hidden="false" customHeight="false" outlineLevel="0" collapsed="false">
      <c r="A272" s="36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37"/>
    </row>
    <row r="273" customFormat="false" ht="14.25" hidden="false" customHeight="false" outlineLevel="0" collapsed="false">
      <c r="A273" s="36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37"/>
    </row>
    <row r="274" customFormat="false" ht="14.25" hidden="false" customHeight="false" outlineLevel="0" collapsed="false">
      <c r="A274" s="36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37"/>
    </row>
    <row r="275" customFormat="false" ht="14.25" hidden="false" customHeight="false" outlineLevel="0" collapsed="false">
      <c r="A275" s="49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50"/>
    </row>
    <row r="276" customFormat="false" ht="14.25" hidden="false" customHeight="false" outlineLevel="0" collapsed="false">
      <c r="A276" s="36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37"/>
    </row>
    <row r="277" customFormat="false" ht="14.25" hidden="false" customHeight="false" outlineLevel="0" collapsed="false">
      <c r="A277" s="36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37"/>
    </row>
    <row r="278" customFormat="false" ht="14.25" hidden="false" customHeight="false" outlineLevel="0" collapsed="false">
      <c r="A278" s="36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37"/>
    </row>
    <row r="279" customFormat="false" ht="14.25" hidden="false" customHeight="false" outlineLevel="0" collapsed="false">
      <c r="A279" s="36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37"/>
    </row>
    <row r="280" customFormat="false" ht="14.25" hidden="false" customHeight="false" outlineLevel="0" collapsed="false">
      <c r="A280" s="47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48"/>
    </row>
    <row r="281" customFormat="false" ht="14.25" hidden="false" customHeight="false" outlineLevel="0" collapsed="false">
      <c r="A281" s="36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37"/>
    </row>
    <row r="282" customFormat="false" ht="14.25" hidden="false" customHeight="false" outlineLevel="0" collapsed="false">
      <c r="A282" s="36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37"/>
    </row>
    <row r="283" customFormat="false" ht="14.25" hidden="false" customHeight="false" outlineLevel="0" collapsed="false">
      <c r="A283" s="36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37"/>
    </row>
    <row r="284" customFormat="false" ht="14.25" hidden="false" customHeight="false" outlineLevel="0" collapsed="false">
      <c r="A284" s="49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50"/>
    </row>
    <row r="285" customFormat="false" ht="14.25" hidden="false" customHeight="false" outlineLevel="0" collapsed="false">
      <c r="A285" s="36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37"/>
    </row>
    <row r="286" customFormat="false" ht="14.25" hidden="false" customHeight="false" outlineLevel="0" collapsed="false">
      <c r="A286" s="36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37"/>
    </row>
    <row r="287" customFormat="false" ht="14.25" hidden="false" customHeight="false" outlineLevel="0" collapsed="false">
      <c r="A287" s="36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37"/>
    </row>
    <row r="288" customFormat="false" ht="14.25" hidden="false" customHeight="false" outlineLevel="0" collapsed="false">
      <c r="A288" s="36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37"/>
    </row>
    <row r="289" customFormat="false" ht="14.25" hidden="false" customHeight="false" outlineLevel="0" collapsed="false">
      <c r="A289" s="36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37"/>
    </row>
    <row r="290" customFormat="false" ht="14.25" hidden="false" customHeight="false" outlineLevel="0" collapsed="false">
      <c r="A290" s="36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37"/>
    </row>
    <row r="291" customFormat="false" ht="14.25" hidden="false" customHeight="false" outlineLevel="0" collapsed="false">
      <c r="A291" s="36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37"/>
    </row>
    <row r="292" customFormat="false" ht="14.25" hidden="false" customHeight="false" outlineLevel="0" collapsed="false">
      <c r="A292" s="36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37"/>
    </row>
    <row r="293" customFormat="false" ht="14.25" hidden="false" customHeight="false" outlineLevel="0" collapsed="false">
      <c r="A293" s="36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37"/>
    </row>
    <row r="294" customFormat="false" ht="14.25" hidden="false" customHeight="false" outlineLevel="0" collapsed="false">
      <c r="A294" s="36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37"/>
    </row>
    <row r="295" customFormat="false" ht="14.25" hidden="false" customHeight="false" outlineLevel="0" collapsed="false">
      <c r="A295" s="36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37"/>
    </row>
    <row r="296" customFormat="false" ht="14.25" hidden="false" customHeight="false" outlineLevel="0" collapsed="false">
      <c r="A296" s="36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37"/>
    </row>
    <row r="297" customFormat="false" ht="14.25" hidden="false" customHeight="false" outlineLevel="0" collapsed="false">
      <c r="A297" s="36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37"/>
    </row>
    <row r="298" customFormat="false" ht="14.25" hidden="false" customHeight="false" outlineLevel="0" collapsed="false">
      <c r="A298" s="36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37"/>
    </row>
    <row r="299" customFormat="false" ht="14.25" hidden="false" customHeight="false" outlineLevel="0" collapsed="false">
      <c r="A299" s="36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37"/>
    </row>
    <row r="300" customFormat="false" ht="14.25" hidden="false" customHeight="false" outlineLevel="0" collapsed="false">
      <c r="A300" s="36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37"/>
    </row>
    <row r="301" customFormat="false" ht="14.25" hidden="false" customHeight="false" outlineLevel="0" collapsed="false">
      <c r="A301" s="36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37"/>
    </row>
    <row r="302" customFormat="false" ht="14.25" hidden="false" customHeight="false" outlineLevel="0" collapsed="false">
      <c r="A302" s="36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37"/>
    </row>
    <row r="303" customFormat="false" ht="14.25" hidden="false" customHeight="false" outlineLevel="0" collapsed="false">
      <c r="A303" s="36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37"/>
    </row>
    <row r="304" customFormat="false" ht="14.25" hidden="false" customHeight="false" outlineLevel="0" collapsed="false">
      <c r="A304" s="36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37"/>
    </row>
    <row r="305" customFormat="false" ht="14.25" hidden="false" customHeight="false" outlineLevel="0" collapsed="false">
      <c r="A305" s="36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37"/>
    </row>
    <row r="306" customFormat="false" ht="14.25" hidden="false" customHeight="false" outlineLevel="0" collapsed="false">
      <c r="A306" s="36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37"/>
    </row>
    <row r="307" customFormat="false" ht="14.25" hidden="false" customHeight="false" outlineLevel="0" collapsed="false">
      <c r="A307" s="36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37"/>
    </row>
    <row r="308" customFormat="false" ht="14.25" hidden="false" customHeight="false" outlineLevel="0" collapsed="false">
      <c r="A308" s="47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48"/>
    </row>
    <row r="309" customFormat="false" ht="14.25" hidden="false" customHeight="false" outlineLevel="0" collapsed="false">
      <c r="A309" s="36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37"/>
    </row>
    <row r="310" customFormat="false" ht="14.25" hidden="false" customHeight="false" outlineLevel="0" collapsed="false">
      <c r="A310" s="36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37"/>
    </row>
    <row r="311" customFormat="false" ht="14.25" hidden="false" customHeight="false" outlineLevel="0" collapsed="false">
      <c r="A311" s="36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37"/>
    </row>
    <row r="312" customFormat="false" ht="14.25" hidden="false" customHeight="false" outlineLevel="0" collapsed="false">
      <c r="A312" s="49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50"/>
    </row>
    <row r="313" customFormat="false" ht="14.25" hidden="false" customHeight="false" outlineLevel="0" collapsed="false">
      <c r="A313" s="36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37"/>
    </row>
    <row r="314" customFormat="false" ht="14.25" hidden="false" customHeight="false" outlineLevel="0" collapsed="false">
      <c r="A314" s="36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37"/>
    </row>
    <row r="315" customFormat="false" ht="14.25" hidden="false" customHeight="false" outlineLevel="0" collapsed="false">
      <c r="A315" s="36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37"/>
    </row>
    <row r="316" customFormat="false" ht="14.25" hidden="false" customHeight="false" outlineLevel="0" collapsed="false">
      <c r="A316" s="36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37"/>
    </row>
    <row r="317" customFormat="false" ht="14.25" hidden="false" customHeight="false" outlineLevel="0" collapsed="false">
      <c r="A317" s="47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48"/>
    </row>
    <row r="318" customFormat="false" ht="14.25" hidden="false" customHeight="false" outlineLevel="0" collapsed="false">
      <c r="A318" s="36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37"/>
    </row>
    <row r="319" customFormat="false" ht="14.25" hidden="false" customHeight="false" outlineLevel="0" collapsed="false">
      <c r="A319" s="36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37"/>
    </row>
    <row r="320" customFormat="false" ht="14.25" hidden="false" customHeight="false" outlineLevel="0" collapsed="false">
      <c r="A320" s="36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37"/>
    </row>
    <row r="321" customFormat="false" ht="14.25" hidden="false" customHeight="false" outlineLevel="0" collapsed="false">
      <c r="A321" s="49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50"/>
    </row>
    <row r="322" customFormat="false" ht="14.25" hidden="false" customHeight="false" outlineLevel="0" collapsed="false">
      <c r="A322" s="36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37"/>
    </row>
    <row r="323" customFormat="false" ht="14.25" hidden="false" customHeight="false" outlineLevel="0" collapsed="false">
      <c r="A323" s="36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37"/>
    </row>
    <row r="324" customFormat="false" ht="14.25" hidden="false" customHeight="false" outlineLevel="0" collapsed="false">
      <c r="A324" s="36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37"/>
    </row>
    <row r="325" customFormat="false" ht="14.25" hidden="false" customHeight="false" outlineLevel="0" collapsed="false">
      <c r="A325" s="36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37"/>
    </row>
    <row r="326" customFormat="false" ht="14.25" hidden="false" customHeight="false" outlineLevel="0" collapsed="false">
      <c r="A326" s="36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37"/>
    </row>
    <row r="327" customFormat="false" ht="14.25" hidden="false" customHeight="false" outlineLevel="0" collapsed="false">
      <c r="A327" s="36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37"/>
    </row>
    <row r="328" customFormat="false" ht="14.25" hidden="false" customHeight="false" outlineLevel="0" collapsed="false">
      <c r="A328" s="36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37"/>
    </row>
    <row r="329" customFormat="false" ht="14.25" hidden="false" customHeight="false" outlineLevel="0" collapsed="false">
      <c r="A329" s="36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37"/>
    </row>
    <row r="330" customFormat="false" ht="14.25" hidden="false" customHeight="false" outlineLevel="0" collapsed="false">
      <c r="A330" s="36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37"/>
    </row>
    <row r="331" customFormat="false" ht="14.25" hidden="false" customHeight="false" outlineLevel="0" collapsed="false">
      <c r="A331" s="36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37"/>
    </row>
    <row r="332" customFormat="false" ht="14.25" hidden="false" customHeight="false" outlineLevel="0" collapsed="false">
      <c r="A332" s="36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37"/>
    </row>
    <row r="333" customFormat="false" ht="14.25" hidden="false" customHeight="false" outlineLevel="0" collapsed="false">
      <c r="A333" s="36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37"/>
    </row>
    <row r="334" customFormat="false" ht="14.25" hidden="false" customHeight="false" outlineLevel="0" collapsed="false">
      <c r="A334" s="36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37"/>
    </row>
    <row r="335" customFormat="false" ht="14.25" hidden="false" customHeight="false" outlineLevel="0" collapsed="false">
      <c r="A335" s="36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37"/>
    </row>
    <row r="336" customFormat="false" ht="14.25" hidden="false" customHeight="false" outlineLevel="0" collapsed="false">
      <c r="A336" s="36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37"/>
    </row>
    <row r="337" customFormat="false" ht="14.25" hidden="false" customHeight="false" outlineLevel="0" collapsed="false">
      <c r="A337" s="36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37"/>
    </row>
    <row r="338" customFormat="false" ht="14.25" hidden="false" customHeight="false" outlineLevel="0" collapsed="false">
      <c r="A338" s="36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37"/>
    </row>
    <row r="339" customFormat="false" ht="14.25" hidden="false" customHeight="false" outlineLevel="0" collapsed="false">
      <c r="A339" s="36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37"/>
    </row>
    <row r="340" customFormat="false" ht="14.25" hidden="false" customHeight="false" outlineLevel="0" collapsed="false">
      <c r="A340" s="36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37"/>
    </row>
    <row r="341" customFormat="false" ht="14.25" hidden="false" customHeight="false" outlineLevel="0" collapsed="false">
      <c r="A341" s="36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37"/>
    </row>
    <row r="342" customFormat="false" ht="14.25" hidden="false" customHeight="false" outlineLevel="0" collapsed="false">
      <c r="A342" s="36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37"/>
    </row>
    <row r="343" customFormat="false" ht="14.25" hidden="false" customHeight="false" outlineLevel="0" collapsed="false">
      <c r="A343" s="36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37"/>
    </row>
    <row r="344" customFormat="false" ht="14.25" hidden="false" customHeight="false" outlineLevel="0" collapsed="false">
      <c r="A344" s="36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37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2" activeCellId="1" sqref="D4:D5 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55" width="18.73"/>
    <col collapsed="false" customWidth="true" hidden="false" outlineLevel="0" max="3" min="2" style="55" width="12.45"/>
    <col collapsed="false" customWidth="true" hidden="false" outlineLevel="0" max="4" min="4" style="55" width="14.45"/>
    <col collapsed="false" customWidth="true" hidden="false" outlineLevel="0" max="5" min="5" style="55" width="15.82"/>
    <col collapsed="false" customWidth="true" hidden="false" outlineLevel="0" max="6" min="6" style="55" width="20.18"/>
    <col collapsed="false" customWidth="true" hidden="false" outlineLevel="0" max="8" min="7" style="55" width="14.73"/>
    <col collapsed="false" customWidth="true" hidden="false" outlineLevel="0" max="9" min="9" style="55" width="17.54"/>
    <col collapsed="false" customWidth="true" hidden="false" outlineLevel="0" max="10" min="10" style="55" width="16.73"/>
    <col collapsed="false" customWidth="true" hidden="false" outlineLevel="0" max="11" min="11" style="55" width="25.54"/>
    <col collapsed="false" customWidth="true" hidden="false" outlineLevel="0" max="13" min="13" style="55" width="14.27"/>
  </cols>
  <sheetData>
    <row r="1" customFormat="false" ht="14.25" hidden="false" customHeight="false" outlineLevel="0" collapsed="false">
      <c r="A1" s="69"/>
      <c r="B1" s="69"/>
      <c r="C1" s="69"/>
      <c r="D1" s="69"/>
    </row>
    <row r="2" s="1" customFormat="true" ht="45.75" hidden="false" customHeight="true" outlineLevel="0" collapsed="false">
      <c r="A2" s="3" t="s">
        <v>0</v>
      </c>
      <c r="B2" s="58" t="s">
        <v>1</v>
      </c>
      <c r="C2" s="58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6" t="s">
        <v>12</v>
      </c>
    </row>
    <row r="3" customFormat="false" ht="14.25" hidden="false" customHeight="false" outlineLevel="0" collapsed="false">
      <c r="A3" s="66" t="s">
        <v>173</v>
      </c>
      <c r="B3" s="31" t="n">
        <v>1</v>
      </c>
      <c r="C3" s="32" t="s">
        <v>150</v>
      </c>
      <c r="D3" s="70"/>
      <c r="E3" s="70"/>
      <c r="F3" s="70"/>
      <c r="G3" s="70"/>
      <c r="H3" s="70"/>
      <c r="I3" s="70"/>
      <c r="J3" s="70"/>
      <c r="K3" s="71"/>
      <c r="M3" s="72" t="s">
        <v>17</v>
      </c>
    </row>
    <row r="4" customFormat="false" ht="15.65" hidden="false" customHeight="false" outlineLevel="0" collapsed="false">
      <c r="A4" s="36" t="s">
        <v>174</v>
      </c>
      <c r="B4" s="61" t="n">
        <v>1</v>
      </c>
      <c r="C4" s="32" t="s">
        <v>150</v>
      </c>
      <c r="D4" s="73"/>
      <c r="E4" s="73"/>
      <c r="F4" s="73"/>
      <c r="G4" s="73"/>
      <c r="H4" s="73"/>
      <c r="I4" s="73"/>
      <c r="J4" s="73"/>
      <c r="K4" s="74"/>
      <c r="M4" s="75" t="s">
        <v>21</v>
      </c>
      <c r="N4" s="76" t="n">
        <f aca="false">SUM(טבלה13452[כמות מוזמנים])</f>
        <v>16</v>
      </c>
    </row>
    <row r="5" customFormat="false" ht="15.65" hidden="false" customHeight="false" outlineLevel="0" collapsed="false">
      <c r="A5" s="36" t="s">
        <v>175</v>
      </c>
      <c r="B5" s="61" t="n">
        <v>2</v>
      </c>
      <c r="C5" s="32" t="s">
        <v>150</v>
      </c>
      <c r="D5" s="73"/>
      <c r="E5" s="73"/>
      <c r="F5" s="73"/>
      <c r="G5" s="73"/>
      <c r="H5" s="73"/>
      <c r="I5" s="73"/>
      <c r="J5" s="73"/>
      <c r="K5" s="74"/>
      <c r="M5" s="77" t="s">
        <v>25</v>
      </c>
      <c r="N5" s="78" t="n">
        <f aca="false">SUMIF(טבלה13452[בטוחים-1, סימן שאלה - 2, מוזמנים אך לא -3],1,טבלה13452[כמות מוזמנים])</f>
        <v>0</v>
      </c>
    </row>
    <row r="6" customFormat="false" ht="15.65" hidden="false" customHeight="false" outlineLevel="0" collapsed="false">
      <c r="A6" s="36" t="s">
        <v>176</v>
      </c>
      <c r="B6" s="61" t="n">
        <v>2</v>
      </c>
      <c r="C6" s="33" t="s">
        <v>43</v>
      </c>
      <c r="D6" s="73"/>
      <c r="E6" s="73"/>
      <c r="F6" s="73"/>
      <c r="G6" s="73"/>
      <c r="H6" s="73"/>
      <c r="I6" s="73"/>
      <c r="J6" s="73"/>
      <c r="K6" s="74"/>
      <c r="M6" s="77" t="s">
        <v>28</v>
      </c>
      <c r="N6" s="79" t="n">
        <f aca="false">SUMIF(טבלה13452[בטוחים-1, סימן שאלה - 2, מוזמנים אך לא -3],2,טבלה13452[כמות מוזמנים])</f>
        <v>0</v>
      </c>
    </row>
    <row r="7" customFormat="false" ht="14.25" hidden="false" customHeight="false" outlineLevel="0" collapsed="false">
      <c r="A7" s="62" t="s">
        <v>177</v>
      </c>
      <c r="B7" s="35" t="n">
        <v>2</v>
      </c>
      <c r="C7" s="32" t="s">
        <v>150</v>
      </c>
      <c r="D7" s="80"/>
      <c r="E7" s="80"/>
      <c r="F7" s="80"/>
      <c r="G7" s="80"/>
      <c r="H7" s="80"/>
      <c r="I7" s="80"/>
      <c r="J7" s="80"/>
      <c r="K7" s="81"/>
      <c r="M7" s="82" t="s">
        <v>31</v>
      </c>
      <c r="N7" s="83" t="n">
        <f aca="false">SUM(טבלה13452[הזמנה(1-כן, 0-לא)])</f>
        <v>0</v>
      </c>
    </row>
    <row r="8" customFormat="false" ht="14.25" hidden="false" customHeight="false" outlineLevel="0" collapsed="false">
      <c r="A8" s="36" t="s">
        <v>178</v>
      </c>
      <c r="B8" s="61" t="n">
        <v>1</v>
      </c>
      <c r="C8" s="33" t="s">
        <v>179</v>
      </c>
      <c r="D8" s="73"/>
      <c r="E8" s="73"/>
      <c r="F8" s="73"/>
      <c r="G8" s="73"/>
      <c r="H8" s="73"/>
      <c r="I8" s="73"/>
      <c r="J8" s="73"/>
      <c r="K8" s="74"/>
    </row>
    <row r="9" customFormat="false" ht="14.25" hidden="false" customHeight="false" outlineLevel="0" collapsed="false">
      <c r="A9" s="36" t="s">
        <v>180</v>
      </c>
      <c r="B9" s="61" t="n">
        <v>1</v>
      </c>
      <c r="C9" s="33" t="s">
        <v>181</v>
      </c>
      <c r="D9" s="73"/>
      <c r="E9" s="73"/>
      <c r="F9" s="73"/>
      <c r="G9" s="73"/>
      <c r="H9" s="73"/>
      <c r="I9" s="73"/>
      <c r="J9" s="73"/>
      <c r="K9" s="74"/>
    </row>
    <row r="10" customFormat="false" ht="14.25" hidden="false" customHeight="false" outlineLevel="0" collapsed="false">
      <c r="A10" s="36" t="s">
        <v>182</v>
      </c>
      <c r="B10" s="61" t="n">
        <v>2</v>
      </c>
      <c r="C10" s="33" t="s">
        <v>183</v>
      </c>
      <c r="D10" s="73"/>
      <c r="E10" s="73"/>
      <c r="F10" s="73"/>
      <c r="G10" s="73"/>
      <c r="H10" s="73"/>
      <c r="I10" s="73"/>
      <c r="J10" s="73"/>
      <c r="K10" s="74"/>
    </row>
    <row r="11" customFormat="false" ht="14.25" hidden="false" customHeight="false" outlineLevel="0" collapsed="false">
      <c r="A11" s="36" t="s">
        <v>184</v>
      </c>
      <c r="B11" s="61" t="n">
        <v>1</v>
      </c>
      <c r="C11" s="33" t="s">
        <v>185</v>
      </c>
      <c r="D11" s="73"/>
      <c r="E11" s="73"/>
      <c r="F11" s="73"/>
      <c r="G11" s="73"/>
      <c r="H11" s="73"/>
      <c r="I11" s="73"/>
      <c r="J11" s="73"/>
      <c r="K11" s="74"/>
      <c r="M11" s="72" t="s">
        <v>40</v>
      </c>
    </row>
    <row r="12" customFormat="false" ht="15.65" hidden="false" customHeight="false" outlineLevel="0" collapsed="false">
      <c r="A12" s="66" t="s">
        <v>186</v>
      </c>
      <c r="B12" s="61" t="n">
        <v>1</v>
      </c>
      <c r="C12" s="43" t="s">
        <v>20</v>
      </c>
      <c r="D12" s="70"/>
      <c r="E12" s="70"/>
      <c r="F12" s="70"/>
      <c r="G12" s="70"/>
      <c r="H12" s="70"/>
      <c r="I12" s="70"/>
      <c r="J12" s="70"/>
      <c r="K12" s="71"/>
      <c r="M12" s="75" t="s">
        <v>44</v>
      </c>
      <c r="N12" s="76" t="n">
        <f aca="false">SUM(טבלה13452[כמות הגיעו בפועל (אחרי חתונה)])</f>
        <v>0</v>
      </c>
    </row>
    <row r="13" customFormat="false" ht="15.65" hidden="false" customHeight="false" outlineLevel="0" collapsed="false">
      <c r="A13" s="36" t="s">
        <v>187</v>
      </c>
      <c r="B13" s="61" t="n">
        <v>1</v>
      </c>
      <c r="C13" s="33" t="s">
        <v>20</v>
      </c>
      <c r="D13" s="73"/>
      <c r="E13" s="73"/>
      <c r="F13" s="73"/>
      <c r="G13" s="73"/>
      <c r="H13" s="73"/>
      <c r="I13" s="73"/>
      <c r="J13" s="73"/>
      <c r="K13" s="74"/>
      <c r="M13" s="82" t="s">
        <v>47</v>
      </c>
      <c r="N13" s="83" t="n">
        <f aca="false">SUM(טבלה13452[כסף])</f>
        <v>0</v>
      </c>
    </row>
    <row r="14" customFormat="false" ht="14.25" hidden="false" customHeight="false" outlineLevel="0" collapsed="false">
      <c r="A14" s="36" t="s">
        <v>188</v>
      </c>
      <c r="B14" s="61" t="n">
        <v>1</v>
      </c>
      <c r="C14" s="33" t="s">
        <v>189</v>
      </c>
      <c r="D14" s="73"/>
      <c r="E14" s="73"/>
      <c r="F14" s="73"/>
      <c r="G14" s="73"/>
      <c r="H14" s="73"/>
      <c r="I14" s="73"/>
      <c r="J14" s="73"/>
      <c r="K14" s="74"/>
    </row>
    <row r="15" customFormat="false" ht="14.25" hidden="false" customHeight="false" outlineLevel="0" collapsed="false">
      <c r="A15" s="84"/>
      <c r="B15" s="73"/>
      <c r="C15" s="73"/>
      <c r="D15" s="73"/>
      <c r="E15" s="73"/>
      <c r="F15" s="73"/>
      <c r="G15" s="73"/>
      <c r="H15" s="73"/>
      <c r="I15" s="73"/>
      <c r="J15" s="73"/>
      <c r="K15" s="74"/>
    </row>
    <row r="16" customFormat="false" ht="14.25" hidden="false" customHeight="false" outlineLevel="0" collapsed="false">
      <c r="A16" s="85"/>
      <c r="B16" s="73"/>
      <c r="C16" s="80"/>
      <c r="D16" s="80"/>
      <c r="E16" s="80"/>
      <c r="F16" s="80"/>
      <c r="G16" s="80"/>
      <c r="H16" s="80"/>
      <c r="I16" s="80"/>
      <c r="J16" s="80"/>
      <c r="K16" s="81"/>
    </row>
    <row r="17" customFormat="false" ht="14.25" hidden="false" customHeight="false" outlineLevel="0" collapsed="false">
      <c r="A17" s="84"/>
      <c r="B17" s="73"/>
      <c r="C17" s="73"/>
      <c r="D17" s="73"/>
      <c r="E17" s="73"/>
      <c r="F17" s="73"/>
      <c r="G17" s="73"/>
      <c r="H17" s="73"/>
      <c r="I17" s="73"/>
      <c r="J17" s="73"/>
      <c r="K17" s="74"/>
    </row>
    <row r="18" customFormat="false" ht="14.25" hidden="false" customHeight="false" outlineLevel="0" collapsed="false">
      <c r="A18" s="84"/>
      <c r="B18" s="73"/>
      <c r="C18" s="73"/>
      <c r="D18" s="73"/>
      <c r="E18" s="73"/>
      <c r="F18" s="73"/>
      <c r="G18" s="73"/>
      <c r="H18" s="73"/>
      <c r="I18" s="73"/>
      <c r="J18" s="73"/>
      <c r="K18" s="74"/>
    </row>
    <row r="19" customFormat="false" ht="14.25" hidden="false" customHeight="false" outlineLevel="0" collapsed="false">
      <c r="A19" s="84"/>
      <c r="B19" s="73"/>
      <c r="C19" s="73"/>
      <c r="D19" s="73"/>
      <c r="E19" s="73"/>
      <c r="F19" s="73"/>
      <c r="G19" s="73"/>
      <c r="H19" s="73"/>
      <c r="I19" s="73"/>
      <c r="J19" s="73"/>
      <c r="K19" s="74"/>
    </row>
    <row r="20" customFormat="false" ht="14.25" hidden="false" customHeight="false" outlineLevel="0" collapsed="false">
      <c r="A20" s="84"/>
      <c r="B20" s="73"/>
      <c r="C20" s="73"/>
      <c r="D20" s="73"/>
      <c r="E20" s="73"/>
      <c r="F20" s="73"/>
      <c r="G20" s="73"/>
      <c r="H20" s="73"/>
      <c r="I20" s="73"/>
      <c r="J20" s="73"/>
      <c r="K20" s="74"/>
    </row>
    <row r="21" customFormat="false" ht="14.25" hidden="false" customHeight="false" outlineLevel="0" collapsed="false">
      <c r="A21" s="84"/>
      <c r="B21" s="73"/>
      <c r="C21" s="73"/>
      <c r="D21" s="73"/>
      <c r="E21" s="73"/>
      <c r="F21" s="73"/>
      <c r="G21" s="73"/>
      <c r="H21" s="73"/>
      <c r="I21" s="73"/>
      <c r="J21" s="73"/>
      <c r="K21" s="74"/>
    </row>
    <row r="22" customFormat="false" ht="14.25" hidden="false" customHeight="false" outlineLevel="0" collapsed="false">
      <c r="A22" s="84"/>
      <c r="B22" s="73"/>
      <c r="C22" s="73"/>
      <c r="D22" s="73"/>
      <c r="E22" s="73"/>
      <c r="F22" s="73"/>
      <c r="G22" s="73"/>
      <c r="H22" s="73"/>
      <c r="I22" s="73"/>
      <c r="J22" s="73"/>
      <c r="K22" s="74"/>
    </row>
    <row r="23" customFormat="false" ht="14.25" hidden="false" customHeight="false" outlineLevel="0" collapsed="false">
      <c r="A23" s="84"/>
      <c r="B23" s="73"/>
      <c r="C23" s="73"/>
      <c r="D23" s="73"/>
      <c r="E23" s="73"/>
      <c r="F23" s="73"/>
      <c r="G23" s="73"/>
      <c r="H23" s="73"/>
      <c r="I23" s="73"/>
      <c r="J23" s="73"/>
      <c r="K23" s="74"/>
    </row>
    <row r="24" customFormat="false" ht="14.25" hidden="false" customHeight="false" outlineLevel="0" collapsed="false">
      <c r="A24" s="84"/>
      <c r="B24" s="73"/>
      <c r="C24" s="73"/>
      <c r="D24" s="73"/>
      <c r="E24" s="73"/>
      <c r="F24" s="73"/>
      <c r="G24" s="73"/>
      <c r="H24" s="73"/>
      <c r="I24" s="73"/>
      <c r="J24" s="73"/>
      <c r="K24" s="74"/>
    </row>
    <row r="25" customFormat="false" ht="14.25" hidden="false" customHeight="false" outlineLevel="0" collapsed="false">
      <c r="A25" s="84"/>
      <c r="B25" s="73"/>
      <c r="C25" s="73"/>
      <c r="D25" s="73"/>
      <c r="E25" s="73"/>
      <c r="F25" s="73"/>
      <c r="G25" s="73"/>
      <c r="H25" s="73"/>
      <c r="I25" s="73"/>
      <c r="J25" s="73"/>
      <c r="K25" s="74"/>
    </row>
    <row r="26" customFormat="false" ht="14.25" hidden="false" customHeight="false" outlineLevel="0" collapsed="false">
      <c r="A26" s="84"/>
      <c r="B26" s="73"/>
      <c r="C26" s="73"/>
      <c r="D26" s="73"/>
      <c r="E26" s="73"/>
      <c r="F26" s="73"/>
      <c r="G26" s="73"/>
      <c r="H26" s="73"/>
      <c r="I26" s="73"/>
      <c r="J26" s="73"/>
      <c r="K26" s="74"/>
    </row>
    <row r="27" customFormat="false" ht="14.25" hidden="false" customHeight="false" outlineLevel="0" collapsed="false">
      <c r="A27" s="84"/>
      <c r="B27" s="73"/>
      <c r="C27" s="73"/>
      <c r="D27" s="73"/>
      <c r="E27" s="73"/>
      <c r="F27" s="73"/>
      <c r="G27" s="73"/>
      <c r="H27" s="73"/>
      <c r="I27" s="73"/>
      <c r="J27" s="73"/>
      <c r="K27" s="74"/>
    </row>
    <row r="28" customFormat="false" ht="14.25" hidden="false" customHeight="false" outlineLevel="0" collapsed="false">
      <c r="A28" s="84"/>
      <c r="B28" s="73"/>
      <c r="C28" s="73"/>
      <c r="D28" s="73"/>
      <c r="E28" s="73"/>
      <c r="F28" s="73"/>
      <c r="G28" s="73"/>
      <c r="H28" s="73"/>
      <c r="I28" s="73"/>
      <c r="J28" s="73"/>
      <c r="K28" s="74"/>
    </row>
    <row r="29" customFormat="false" ht="14.25" hidden="false" customHeight="false" outlineLevel="0" collapsed="false">
      <c r="A29" s="84"/>
      <c r="B29" s="73"/>
      <c r="C29" s="73"/>
      <c r="D29" s="73"/>
      <c r="E29" s="73"/>
      <c r="F29" s="73"/>
      <c r="G29" s="73"/>
      <c r="H29" s="73"/>
      <c r="I29" s="73"/>
      <c r="J29" s="73"/>
      <c r="K29" s="74"/>
    </row>
    <row r="30" customFormat="false" ht="14.25" hidden="false" customHeight="false" outlineLevel="0" collapsed="false">
      <c r="A30" s="84"/>
      <c r="B30" s="73"/>
      <c r="C30" s="73"/>
      <c r="D30" s="73"/>
      <c r="E30" s="73"/>
      <c r="F30" s="73"/>
      <c r="G30" s="73"/>
      <c r="H30" s="73"/>
      <c r="I30" s="73"/>
      <c r="J30" s="73"/>
      <c r="K30" s="74"/>
    </row>
    <row r="31" customFormat="false" ht="14.25" hidden="false" customHeight="false" outlineLevel="0" collapsed="false">
      <c r="A31" s="84"/>
      <c r="B31" s="73"/>
      <c r="C31" s="73"/>
      <c r="D31" s="73"/>
      <c r="E31" s="73"/>
      <c r="F31" s="73"/>
      <c r="G31" s="73"/>
      <c r="H31" s="73"/>
      <c r="I31" s="73"/>
      <c r="J31" s="73"/>
      <c r="K31" s="74"/>
    </row>
    <row r="32" customFormat="false" ht="14.25" hidden="false" customHeight="false" outlineLevel="0" collapsed="false">
      <c r="A32" s="84"/>
      <c r="B32" s="73"/>
      <c r="C32" s="73"/>
      <c r="D32" s="73"/>
      <c r="E32" s="73"/>
      <c r="F32" s="73"/>
      <c r="G32" s="73"/>
      <c r="H32" s="73"/>
      <c r="I32" s="73"/>
      <c r="J32" s="73"/>
      <c r="K32" s="74"/>
    </row>
    <row r="33" customFormat="false" ht="14.25" hidden="false" customHeight="false" outlineLevel="0" collapsed="false">
      <c r="A33" s="84"/>
      <c r="B33" s="73"/>
      <c r="C33" s="73"/>
      <c r="D33" s="73"/>
      <c r="E33" s="73"/>
      <c r="F33" s="73"/>
      <c r="G33" s="73"/>
      <c r="H33" s="73"/>
      <c r="I33" s="73"/>
      <c r="J33" s="73"/>
      <c r="K33" s="74"/>
    </row>
    <row r="34" customFormat="false" ht="14.25" hidden="false" customHeight="false" outlineLevel="0" collapsed="false">
      <c r="A34" s="84"/>
      <c r="B34" s="73"/>
      <c r="C34" s="73"/>
      <c r="D34" s="73"/>
      <c r="E34" s="73"/>
      <c r="F34" s="73"/>
      <c r="G34" s="73"/>
      <c r="H34" s="73"/>
      <c r="I34" s="73"/>
      <c r="J34" s="73"/>
      <c r="K34" s="74"/>
    </row>
    <row r="35" customFormat="false" ht="14.25" hidden="false" customHeight="false" outlineLevel="0" collapsed="false">
      <c r="A35" s="84"/>
      <c r="B35" s="73"/>
      <c r="C35" s="73"/>
      <c r="D35" s="73"/>
      <c r="E35" s="73"/>
      <c r="F35" s="73"/>
      <c r="G35" s="73"/>
      <c r="H35" s="73"/>
      <c r="I35" s="73"/>
      <c r="J35" s="73"/>
      <c r="K35" s="74"/>
    </row>
    <row r="36" customFormat="false" ht="14.25" hidden="false" customHeight="false" outlineLevel="0" collapsed="false">
      <c r="A36" s="84"/>
      <c r="B36" s="73"/>
      <c r="C36" s="73"/>
      <c r="D36" s="73"/>
      <c r="E36" s="73"/>
      <c r="F36" s="73"/>
      <c r="G36" s="73"/>
      <c r="H36" s="73"/>
      <c r="I36" s="73"/>
      <c r="J36" s="73"/>
      <c r="K36" s="74"/>
    </row>
    <row r="37" customFormat="false" ht="14.25" hidden="false" customHeight="false" outlineLevel="0" collapsed="false">
      <c r="A37" s="84"/>
      <c r="B37" s="73"/>
      <c r="C37" s="73"/>
      <c r="D37" s="73"/>
      <c r="E37" s="73"/>
      <c r="F37" s="73"/>
      <c r="G37" s="73"/>
      <c r="H37" s="73"/>
      <c r="I37" s="73"/>
      <c r="J37" s="73"/>
      <c r="K37" s="74"/>
    </row>
    <row r="38" customFormat="false" ht="14.25" hidden="false" customHeight="false" outlineLevel="0" collapsed="false">
      <c r="A38" s="84"/>
      <c r="B38" s="73"/>
      <c r="C38" s="73"/>
      <c r="D38" s="73"/>
      <c r="E38" s="73"/>
      <c r="F38" s="73"/>
      <c r="G38" s="73"/>
      <c r="H38" s="73"/>
      <c r="I38" s="73"/>
      <c r="J38" s="73"/>
      <c r="K38" s="74"/>
    </row>
    <row r="39" customFormat="false" ht="14.25" hidden="false" customHeight="false" outlineLevel="0" collapsed="false">
      <c r="A39" s="86"/>
      <c r="B39" s="70"/>
      <c r="C39" s="70"/>
      <c r="D39" s="70"/>
      <c r="E39" s="70"/>
      <c r="F39" s="70"/>
      <c r="G39" s="70"/>
      <c r="H39" s="70"/>
      <c r="I39" s="70"/>
      <c r="J39" s="70"/>
      <c r="K39" s="71"/>
    </row>
    <row r="40" customFormat="false" ht="14.25" hidden="false" customHeight="false" outlineLevel="0" collapsed="false">
      <c r="A40" s="84"/>
      <c r="B40" s="73"/>
      <c r="C40" s="73"/>
      <c r="D40" s="73"/>
      <c r="E40" s="73"/>
      <c r="F40" s="73"/>
      <c r="G40" s="73"/>
      <c r="H40" s="73"/>
      <c r="I40" s="73"/>
      <c r="J40" s="73"/>
      <c r="K40" s="74"/>
    </row>
    <row r="41" customFormat="false" ht="14.25" hidden="false" customHeight="false" outlineLevel="0" collapsed="false">
      <c r="A41" s="84"/>
      <c r="B41" s="70"/>
      <c r="C41" s="87"/>
      <c r="D41" s="73"/>
      <c r="E41" s="73"/>
      <c r="F41" s="73"/>
      <c r="G41" s="73"/>
      <c r="H41" s="73"/>
      <c r="I41" s="73"/>
      <c r="J41" s="73"/>
      <c r="K41" s="74"/>
    </row>
    <row r="42" customFormat="false" ht="14.25" hidden="false" customHeight="false" outlineLevel="0" collapsed="false">
      <c r="A42" s="84"/>
      <c r="B42" s="73"/>
      <c r="C42" s="73"/>
      <c r="D42" s="73"/>
      <c r="E42" s="73"/>
      <c r="F42" s="73"/>
      <c r="G42" s="73"/>
      <c r="H42" s="73"/>
      <c r="I42" s="73"/>
      <c r="J42" s="73"/>
      <c r="K42" s="74"/>
    </row>
    <row r="43" customFormat="false" ht="14.25" hidden="false" customHeight="false" outlineLevel="0" collapsed="false">
      <c r="A43" s="85"/>
      <c r="B43" s="70"/>
      <c r="C43" s="88"/>
      <c r="D43" s="80"/>
      <c r="E43" s="80"/>
      <c r="F43" s="80"/>
      <c r="G43" s="80"/>
      <c r="H43" s="80"/>
      <c r="I43" s="80"/>
      <c r="J43" s="80"/>
      <c r="K43" s="81"/>
    </row>
    <row r="44" customFormat="false" ht="14.25" hidden="false" customHeight="false" outlineLevel="0" collapsed="false">
      <c r="A44" s="84"/>
      <c r="B44" s="73"/>
      <c r="C44" s="73"/>
      <c r="D44" s="73"/>
      <c r="E44" s="73"/>
      <c r="F44" s="73"/>
      <c r="G44" s="73"/>
      <c r="H44" s="73"/>
      <c r="I44" s="73"/>
      <c r="J44" s="73"/>
      <c r="K44" s="74"/>
    </row>
    <row r="45" customFormat="false" ht="14.25" hidden="false" customHeight="false" outlineLevel="0" collapsed="false">
      <c r="A45" s="84"/>
      <c r="B45" s="70"/>
      <c r="C45" s="87"/>
      <c r="D45" s="73"/>
      <c r="E45" s="73"/>
      <c r="F45" s="73"/>
      <c r="G45" s="73"/>
      <c r="H45" s="73"/>
      <c r="I45" s="73"/>
      <c r="J45" s="73"/>
      <c r="K45" s="74"/>
    </row>
    <row r="46" customFormat="false" ht="14.25" hidden="false" customHeight="false" outlineLevel="0" collapsed="false">
      <c r="A46" s="84"/>
      <c r="B46" s="73"/>
      <c r="C46" s="73"/>
      <c r="D46" s="73"/>
      <c r="E46" s="73"/>
      <c r="F46" s="73"/>
      <c r="G46" s="73"/>
      <c r="H46" s="73"/>
      <c r="I46" s="73"/>
      <c r="J46" s="73"/>
      <c r="K46" s="74"/>
    </row>
    <row r="47" customFormat="false" ht="14.25" hidden="false" customHeight="false" outlineLevel="0" collapsed="false">
      <c r="A47" s="84"/>
      <c r="B47" s="70"/>
      <c r="C47" s="87"/>
      <c r="D47" s="73"/>
      <c r="E47" s="73"/>
      <c r="F47" s="73"/>
      <c r="G47" s="73"/>
      <c r="H47" s="73"/>
      <c r="I47" s="73"/>
      <c r="J47" s="73"/>
      <c r="K47" s="74"/>
    </row>
    <row r="48" customFormat="false" ht="14.25" hidden="false" customHeight="false" outlineLevel="0" collapsed="false">
      <c r="A48" s="86"/>
      <c r="B48" s="73"/>
      <c r="C48" s="87"/>
      <c r="D48" s="70"/>
      <c r="E48" s="70"/>
      <c r="F48" s="70"/>
      <c r="G48" s="70"/>
      <c r="H48" s="70"/>
      <c r="I48" s="70"/>
      <c r="J48" s="70"/>
      <c r="K48" s="71"/>
    </row>
    <row r="49" customFormat="false" ht="14.25" hidden="false" customHeight="false" outlineLevel="0" collapsed="false">
      <c r="A49" s="84"/>
      <c r="B49" s="70"/>
      <c r="C49" s="87"/>
      <c r="D49" s="73"/>
      <c r="E49" s="73"/>
      <c r="F49" s="73"/>
      <c r="G49" s="73"/>
      <c r="H49" s="73"/>
      <c r="I49" s="73"/>
      <c r="J49" s="73"/>
      <c r="K49" s="74"/>
    </row>
    <row r="50" customFormat="false" ht="14.25" hidden="false" customHeight="false" outlineLevel="0" collapsed="false">
      <c r="A50" s="84"/>
      <c r="B50" s="73"/>
      <c r="C50" s="73"/>
      <c r="D50" s="73"/>
      <c r="E50" s="73"/>
      <c r="F50" s="73"/>
      <c r="G50" s="73"/>
      <c r="H50" s="73"/>
      <c r="I50" s="73"/>
      <c r="J50" s="73"/>
      <c r="K50" s="74"/>
    </row>
    <row r="51" customFormat="false" ht="14.25" hidden="false" customHeight="false" outlineLevel="0" collapsed="false">
      <c r="A51" s="84"/>
      <c r="B51" s="70"/>
      <c r="C51" s="87"/>
      <c r="D51" s="73"/>
      <c r="E51" s="73"/>
      <c r="F51" s="73"/>
      <c r="G51" s="73"/>
      <c r="H51" s="73"/>
      <c r="I51" s="73"/>
      <c r="J51" s="73"/>
      <c r="K51" s="74"/>
    </row>
    <row r="52" customFormat="false" ht="14.25" hidden="false" customHeight="false" outlineLevel="0" collapsed="false">
      <c r="A52" s="85"/>
      <c r="B52" s="73"/>
      <c r="C52" s="80"/>
      <c r="D52" s="80"/>
      <c r="E52" s="80"/>
      <c r="F52" s="80"/>
      <c r="G52" s="80"/>
      <c r="H52" s="80"/>
      <c r="I52" s="80"/>
      <c r="J52" s="80"/>
      <c r="K52" s="81"/>
    </row>
    <row r="53" customFormat="false" ht="14.25" hidden="false" customHeight="false" outlineLevel="0" collapsed="false">
      <c r="A53" s="84"/>
      <c r="B53" s="73"/>
      <c r="C53" s="73"/>
      <c r="D53" s="73"/>
      <c r="E53" s="73"/>
      <c r="F53" s="73"/>
      <c r="G53" s="73"/>
      <c r="H53" s="73"/>
      <c r="I53" s="73"/>
      <c r="J53" s="73"/>
      <c r="K53" s="74"/>
    </row>
    <row r="54" customFormat="false" ht="14.25" hidden="false" customHeight="false" outlineLevel="0" collapsed="false">
      <c r="A54" s="84"/>
      <c r="B54" s="73"/>
      <c r="C54" s="73"/>
      <c r="D54" s="73"/>
      <c r="E54" s="73"/>
      <c r="F54" s="73"/>
      <c r="G54" s="73"/>
      <c r="H54" s="73"/>
      <c r="I54" s="73"/>
      <c r="J54" s="73"/>
      <c r="K54" s="74"/>
    </row>
    <row r="55" customFormat="false" ht="14.25" hidden="false" customHeight="false" outlineLevel="0" collapsed="false">
      <c r="A55" s="84"/>
      <c r="B55" s="73"/>
      <c r="C55" s="73"/>
      <c r="D55" s="73"/>
      <c r="E55" s="73"/>
      <c r="F55" s="73"/>
      <c r="G55" s="73"/>
      <c r="H55" s="73"/>
      <c r="I55" s="73"/>
      <c r="J55" s="73"/>
      <c r="K55" s="74"/>
    </row>
    <row r="56" customFormat="false" ht="14.25" hidden="false" customHeight="false" outlineLevel="0" collapsed="false">
      <c r="A56" s="84"/>
      <c r="B56" s="73"/>
      <c r="C56" s="73"/>
      <c r="D56" s="73"/>
      <c r="E56" s="73"/>
      <c r="F56" s="73"/>
      <c r="G56" s="73"/>
      <c r="H56" s="73"/>
      <c r="I56" s="73"/>
      <c r="J56" s="73"/>
      <c r="K56" s="74"/>
    </row>
    <row r="57" customFormat="false" ht="14.25" hidden="false" customHeight="false" outlineLevel="0" collapsed="false">
      <c r="A57" s="84"/>
      <c r="B57" s="73"/>
      <c r="C57" s="73"/>
      <c r="D57" s="73"/>
      <c r="E57" s="73"/>
      <c r="F57" s="73"/>
      <c r="G57" s="73"/>
      <c r="H57" s="73"/>
      <c r="I57" s="73"/>
      <c r="J57" s="73"/>
      <c r="K57" s="74"/>
    </row>
    <row r="58" customFormat="false" ht="14.25" hidden="false" customHeight="false" outlineLevel="0" collapsed="false">
      <c r="A58" s="84"/>
      <c r="B58" s="73"/>
      <c r="C58" s="73"/>
      <c r="D58" s="73"/>
      <c r="E58" s="73"/>
      <c r="F58" s="73"/>
      <c r="G58" s="73"/>
      <c r="H58" s="73"/>
      <c r="I58" s="73"/>
      <c r="J58" s="73"/>
      <c r="K58" s="74"/>
    </row>
    <row r="59" customFormat="false" ht="14.25" hidden="false" customHeight="false" outlineLevel="0" collapsed="false">
      <c r="A59" s="84"/>
      <c r="B59" s="73"/>
      <c r="C59" s="73"/>
      <c r="D59" s="73"/>
      <c r="E59" s="73"/>
      <c r="F59" s="73"/>
      <c r="G59" s="73"/>
      <c r="H59" s="73"/>
      <c r="I59" s="73"/>
      <c r="J59" s="73"/>
      <c r="K59" s="74"/>
    </row>
    <row r="60" customFormat="false" ht="14.25" hidden="false" customHeight="false" outlineLevel="0" collapsed="false">
      <c r="A60" s="84"/>
      <c r="B60" s="73"/>
      <c r="C60" s="73"/>
      <c r="D60" s="73"/>
      <c r="E60" s="73"/>
      <c r="F60" s="73"/>
      <c r="G60" s="73"/>
      <c r="H60" s="73"/>
      <c r="I60" s="73"/>
      <c r="J60" s="73"/>
      <c r="K60" s="74"/>
    </row>
    <row r="61" customFormat="false" ht="14.25" hidden="false" customHeight="false" outlineLevel="0" collapsed="false">
      <c r="A61" s="84"/>
      <c r="B61" s="73"/>
      <c r="C61" s="73"/>
      <c r="D61" s="73"/>
      <c r="E61" s="73"/>
      <c r="F61" s="73"/>
      <c r="G61" s="73"/>
      <c r="H61" s="73"/>
      <c r="I61" s="73"/>
      <c r="J61" s="73"/>
      <c r="K61" s="74"/>
    </row>
    <row r="62" customFormat="false" ht="14.25" hidden="false" customHeight="false" outlineLevel="0" collapsed="false">
      <c r="A62" s="84"/>
      <c r="B62" s="73"/>
      <c r="C62" s="73"/>
      <c r="D62" s="73"/>
      <c r="E62" s="73"/>
      <c r="F62" s="73"/>
      <c r="G62" s="73"/>
      <c r="H62" s="73"/>
      <c r="I62" s="73"/>
      <c r="J62" s="73"/>
      <c r="K62" s="74"/>
    </row>
    <row r="63" customFormat="false" ht="14.25" hidden="false" customHeight="false" outlineLevel="0" collapsed="false">
      <c r="A63" s="84"/>
      <c r="B63" s="73"/>
      <c r="C63" s="73"/>
      <c r="D63" s="73"/>
      <c r="E63" s="73"/>
      <c r="F63" s="73"/>
      <c r="G63" s="73"/>
      <c r="H63" s="73"/>
      <c r="I63" s="73"/>
      <c r="J63" s="73"/>
      <c r="K63" s="74"/>
    </row>
    <row r="64" customFormat="false" ht="14.25" hidden="false" customHeight="false" outlineLevel="0" collapsed="false">
      <c r="A64" s="84"/>
      <c r="B64" s="73"/>
      <c r="C64" s="73"/>
      <c r="D64" s="73"/>
      <c r="E64" s="73"/>
      <c r="F64" s="73"/>
      <c r="G64" s="73"/>
      <c r="H64" s="73"/>
      <c r="I64" s="73"/>
      <c r="J64" s="73"/>
      <c r="K64" s="74"/>
    </row>
    <row r="65" customFormat="false" ht="14.25" hidden="false" customHeight="false" outlineLevel="0" collapsed="false">
      <c r="A65" s="84"/>
      <c r="B65" s="73"/>
      <c r="C65" s="73"/>
      <c r="D65" s="73"/>
      <c r="E65" s="73"/>
      <c r="F65" s="73"/>
      <c r="G65" s="73"/>
      <c r="H65" s="73"/>
      <c r="I65" s="73"/>
      <c r="J65" s="73"/>
      <c r="K65" s="74"/>
    </row>
    <row r="66" customFormat="false" ht="14.25" hidden="false" customHeight="false" outlineLevel="0" collapsed="false">
      <c r="A66" s="84"/>
      <c r="B66" s="73"/>
      <c r="C66" s="73"/>
      <c r="D66" s="73"/>
      <c r="E66" s="73"/>
      <c r="F66" s="73"/>
      <c r="G66" s="73"/>
      <c r="H66" s="73"/>
      <c r="I66" s="73"/>
      <c r="J66" s="73"/>
      <c r="K66" s="74"/>
    </row>
    <row r="67" customFormat="false" ht="14.25" hidden="false" customHeight="false" outlineLevel="0" collapsed="false">
      <c r="A67" s="84"/>
      <c r="B67" s="73"/>
      <c r="C67" s="73"/>
      <c r="D67" s="73"/>
      <c r="E67" s="73"/>
      <c r="F67" s="73"/>
      <c r="G67" s="73"/>
      <c r="H67" s="73"/>
      <c r="I67" s="73"/>
      <c r="J67" s="73"/>
      <c r="K67" s="74"/>
    </row>
    <row r="68" customFormat="false" ht="14.25" hidden="false" customHeight="false" outlineLevel="0" collapsed="false">
      <c r="A68" s="84"/>
      <c r="B68" s="73"/>
      <c r="C68" s="73"/>
      <c r="D68" s="73"/>
      <c r="E68" s="73"/>
      <c r="F68" s="73"/>
      <c r="G68" s="73"/>
      <c r="H68" s="73"/>
      <c r="I68" s="73"/>
      <c r="J68" s="73"/>
      <c r="K68" s="74"/>
    </row>
    <row r="69" customFormat="false" ht="14.25" hidden="false" customHeight="false" outlineLevel="0" collapsed="false">
      <c r="A69" s="84"/>
      <c r="B69" s="73"/>
      <c r="C69" s="73"/>
      <c r="D69" s="73"/>
      <c r="E69" s="73"/>
      <c r="F69" s="73"/>
      <c r="G69" s="73"/>
      <c r="H69" s="73"/>
      <c r="I69" s="73"/>
      <c r="J69" s="73"/>
      <c r="K69" s="74"/>
    </row>
    <row r="70" customFormat="false" ht="14.25" hidden="false" customHeight="false" outlineLevel="0" collapsed="false">
      <c r="A70" s="84"/>
      <c r="B70" s="73"/>
      <c r="C70" s="73"/>
      <c r="D70" s="73"/>
      <c r="E70" s="73"/>
      <c r="F70" s="73"/>
      <c r="G70" s="73"/>
      <c r="H70" s="73"/>
      <c r="I70" s="73"/>
      <c r="J70" s="73"/>
      <c r="K70" s="74"/>
    </row>
    <row r="71" customFormat="false" ht="14.25" hidden="false" customHeight="false" outlineLevel="0" collapsed="false">
      <c r="A71" s="84"/>
      <c r="B71" s="73"/>
      <c r="C71" s="73"/>
      <c r="D71" s="73"/>
      <c r="E71" s="73"/>
      <c r="F71" s="73"/>
      <c r="G71" s="73"/>
      <c r="H71" s="73"/>
      <c r="I71" s="73"/>
      <c r="J71" s="73"/>
      <c r="K71" s="74"/>
    </row>
    <row r="72" customFormat="false" ht="14.25" hidden="false" customHeight="false" outlineLevel="0" collapsed="false">
      <c r="A72" s="84"/>
      <c r="B72" s="73"/>
      <c r="C72" s="73"/>
      <c r="D72" s="73"/>
      <c r="E72" s="73"/>
      <c r="F72" s="73"/>
      <c r="G72" s="73"/>
      <c r="H72" s="73"/>
      <c r="I72" s="73"/>
      <c r="J72" s="73"/>
      <c r="K72" s="74"/>
    </row>
    <row r="73" customFormat="false" ht="14.25" hidden="false" customHeight="false" outlineLevel="0" collapsed="false">
      <c r="A73" s="86"/>
      <c r="B73" s="73"/>
      <c r="C73" s="87"/>
      <c r="D73" s="70"/>
      <c r="E73" s="70"/>
      <c r="F73" s="70"/>
      <c r="G73" s="70"/>
      <c r="H73" s="70"/>
      <c r="I73" s="70"/>
      <c r="J73" s="70"/>
      <c r="K73" s="71"/>
    </row>
    <row r="74" customFormat="false" ht="14.25" hidden="false" customHeight="false" outlineLevel="0" collapsed="false">
      <c r="A74" s="84"/>
      <c r="B74" s="73"/>
      <c r="C74" s="73"/>
      <c r="D74" s="73"/>
      <c r="E74" s="73"/>
      <c r="F74" s="73"/>
      <c r="G74" s="73"/>
      <c r="H74" s="73"/>
      <c r="I74" s="73"/>
      <c r="J74" s="73"/>
      <c r="K74" s="74"/>
    </row>
    <row r="75" customFormat="false" ht="14.25" hidden="false" customHeight="false" outlineLevel="0" collapsed="false">
      <c r="A75" s="84"/>
      <c r="B75" s="73"/>
      <c r="C75" s="73"/>
      <c r="D75" s="73"/>
      <c r="E75" s="73"/>
      <c r="F75" s="73"/>
      <c r="G75" s="73"/>
      <c r="H75" s="73"/>
      <c r="I75" s="73"/>
      <c r="J75" s="73"/>
      <c r="K75" s="74"/>
    </row>
    <row r="76" customFormat="false" ht="14.25" hidden="false" customHeight="false" outlineLevel="0" collapsed="false">
      <c r="A76" s="84"/>
      <c r="B76" s="73"/>
      <c r="C76" s="73"/>
      <c r="D76" s="73"/>
      <c r="E76" s="73"/>
      <c r="F76" s="73"/>
      <c r="G76" s="73"/>
      <c r="H76" s="73"/>
      <c r="I76" s="73"/>
      <c r="J76" s="73"/>
      <c r="K76" s="74"/>
    </row>
    <row r="77" customFormat="false" ht="14.25" hidden="false" customHeight="false" outlineLevel="0" collapsed="false">
      <c r="A77" s="85"/>
      <c r="B77" s="73"/>
      <c r="C77" s="80"/>
      <c r="D77" s="80"/>
      <c r="E77" s="80"/>
      <c r="F77" s="80"/>
      <c r="G77" s="80"/>
      <c r="H77" s="80"/>
      <c r="I77" s="80"/>
      <c r="J77" s="80"/>
      <c r="K77" s="81"/>
    </row>
    <row r="78" customFormat="false" ht="14.25" hidden="false" customHeight="false" outlineLevel="0" collapsed="false">
      <c r="A78" s="84"/>
      <c r="B78" s="73"/>
      <c r="C78" s="73"/>
      <c r="D78" s="73"/>
      <c r="E78" s="73"/>
      <c r="F78" s="73"/>
      <c r="G78" s="73"/>
      <c r="H78" s="73"/>
      <c r="I78" s="73"/>
      <c r="J78" s="73"/>
      <c r="K78" s="74"/>
    </row>
    <row r="79" customFormat="false" ht="14.25" hidden="false" customHeight="false" outlineLevel="0" collapsed="false">
      <c r="A79" s="84"/>
      <c r="B79" s="73"/>
      <c r="C79" s="73"/>
      <c r="D79" s="73"/>
      <c r="E79" s="73"/>
      <c r="F79" s="73"/>
      <c r="G79" s="73"/>
      <c r="H79" s="73"/>
      <c r="I79" s="73"/>
      <c r="J79" s="73"/>
      <c r="K79" s="74"/>
    </row>
    <row r="80" customFormat="false" ht="14.25" hidden="false" customHeight="false" outlineLevel="0" collapsed="false">
      <c r="A80" s="84"/>
      <c r="B80" s="73"/>
      <c r="C80" s="73"/>
      <c r="D80" s="73"/>
      <c r="E80" s="73"/>
      <c r="F80" s="73"/>
      <c r="G80" s="73"/>
      <c r="H80" s="73"/>
      <c r="I80" s="73"/>
      <c r="J80" s="73"/>
      <c r="K80" s="74"/>
    </row>
    <row r="81" customFormat="false" ht="14.25" hidden="false" customHeight="false" outlineLevel="0" collapsed="false">
      <c r="A81" s="84"/>
      <c r="B81" s="73"/>
      <c r="C81" s="73"/>
      <c r="D81" s="73"/>
      <c r="E81" s="73"/>
      <c r="F81" s="73"/>
      <c r="G81" s="73"/>
      <c r="H81" s="73"/>
      <c r="I81" s="73"/>
      <c r="J81" s="73"/>
      <c r="K81" s="74"/>
    </row>
    <row r="82" customFormat="false" ht="14.25" hidden="false" customHeight="false" outlineLevel="0" collapsed="false">
      <c r="A82" s="86"/>
      <c r="B82" s="73"/>
      <c r="C82" s="87"/>
      <c r="D82" s="70"/>
      <c r="E82" s="70"/>
      <c r="F82" s="70"/>
      <c r="G82" s="70"/>
      <c r="H82" s="70"/>
      <c r="I82" s="70"/>
      <c r="J82" s="70"/>
      <c r="K82" s="71"/>
    </row>
    <row r="83" customFormat="false" ht="14.25" hidden="false" customHeight="false" outlineLevel="0" collapsed="false">
      <c r="A83" s="84"/>
      <c r="B83" s="73"/>
      <c r="C83" s="73"/>
      <c r="D83" s="73"/>
      <c r="E83" s="73"/>
      <c r="F83" s="73"/>
      <c r="G83" s="73"/>
      <c r="H83" s="73"/>
      <c r="I83" s="73"/>
      <c r="J83" s="73"/>
      <c r="K83" s="74"/>
    </row>
    <row r="84" customFormat="false" ht="14.25" hidden="false" customHeight="false" outlineLevel="0" collapsed="false">
      <c r="A84" s="84"/>
      <c r="B84" s="73"/>
      <c r="C84" s="73"/>
      <c r="D84" s="73"/>
      <c r="E84" s="73"/>
      <c r="F84" s="73"/>
      <c r="G84" s="73"/>
      <c r="H84" s="73"/>
      <c r="I84" s="73"/>
      <c r="J84" s="73"/>
      <c r="K84" s="74"/>
    </row>
    <row r="85" customFormat="false" ht="14.25" hidden="false" customHeight="false" outlineLevel="0" collapsed="false">
      <c r="A85" s="84"/>
      <c r="B85" s="73"/>
      <c r="C85" s="73"/>
      <c r="D85" s="73"/>
      <c r="E85" s="73"/>
      <c r="F85" s="73"/>
      <c r="G85" s="73"/>
      <c r="H85" s="73"/>
      <c r="I85" s="73"/>
      <c r="J85" s="73"/>
      <c r="K85" s="74"/>
    </row>
    <row r="86" customFormat="false" ht="14.25" hidden="false" customHeight="false" outlineLevel="0" collapsed="false">
      <c r="A86" s="84"/>
      <c r="B86" s="73"/>
      <c r="C86" s="73"/>
      <c r="D86" s="73"/>
      <c r="E86" s="73"/>
      <c r="F86" s="73"/>
      <c r="G86" s="73"/>
      <c r="H86" s="73"/>
      <c r="I86" s="73"/>
      <c r="J86" s="73"/>
      <c r="K86" s="74"/>
    </row>
    <row r="87" customFormat="false" ht="14.25" hidden="false" customHeight="false" outlineLevel="0" collapsed="false">
      <c r="A87" s="84"/>
      <c r="B87" s="73"/>
      <c r="C87" s="73"/>
      <c r="D87" s="73"/>
      <c r="E87" s="73"/>
      <c r="F87" s="73"/>
      <c r="G87" s="73"/>
      <c r="H87" s="73"/>
      <c r="I87" s="73"/>
      <c r="J87" s="73"/>
      <c r="K87" s="74"/>
    </row>
    <row r="88" customFormat="false" ht="14.25" hidden="false" customHeight="false" outlineLevel="0" collapsed="false">
      <c r="A88" s="84"/>
      <c r="B88" s="73"/>
      <c r="C88" s="73"/>
      <c r="D88" s="73"/>
      <c r="E88" s="73"/>
      <c r="F88" s="73"/>
      <c r="G88" s="73"/>
      <c r="H88" s="73"/>
      <c r="I88" s="73"/>
      <c r="J88" s="73"/>
      <c r="K88" s="74"/>
    </row>
    <row r="89" customFormat="false" ht="14.25" hidden="false" customHeight="false" outlineLevel="0" collapsed="false">
      <c r="A89" s="84"/>
      <c r="B89" s="73"/>
      <c r="C89" s="73"/>
      <c r="D89" s="73"/>
      <c r="E89" s="73"/>
      <c r="F89" s="73"/>
      <c r="G89" s="73"/>
      <c r="H89" s="73"/>
      <c r="I89" s="73"/>
      <c r="J89" s="73"/>
      <c r="K89" s="74"/>
    </row>
    <row r="90" customFormat="false" ht="14.25" hidden="false" customHeight="false" outlineLevel="0" collapsed="false">
      <c r="A90" s="84"/>
      <c r="B90" s="73"/>
      <c r="C90" s="73"/>
      <c r="D90" s="73"/>
      <c r="E90" s="73"/>
      <c r="F90" s="73"/>
      <c r="G90" s="73"/>
      <c r="H90" s="73"/>
      <c r="I90" s="73"/>
      <c r="J90" s="73"/>
      <c r="K90" s="74"/>
    </row>
    <row r="91" customFormat="false" ht="14.25" hidden="false" customHeight="false" outlineLevel="0" collapsed="false">
      <c r="A91" s="84"/>
      <c r="B91" s="73"/>
      <c r="C91" s="73"/>
      <c r="D91" s="73"/>
      <c r="E91" s="73"/>
      <c r="F91" s="73"/>
      <c r="G91" s="73"/>
      <c r="H91" s="73"/>
      <c r="I91" s="73"/>
      <c r="J91" s="73"/>
      <c r="K91" s="74"/>
    </row>
    <row r="92" customFormat="false" ht="14.25" hidden="false" customHeight="false" outlineLevel="0" collapsed="false">
      <c r="A92" s="84"/>
      <c r="B92" s="73"/>
      <c r="C92" s="73"/>
      <c r="D92" s="73"/>
      <c r="E92" s="73"/>
      <c r="F92" s="73"/>
      <c r="G92" s="73"/>
      <c r="H92" s="73"/>
      <c r="I92" s="73"/>
      <c r="J92" s="73"/>
      <c r="K92" s="74"/>
    </row>
    <row r="93" customFormat="false" ht="14.25" hidden="false" customHeight="false" outlineLevel="0" collapsed="false">
      <c r="A93" s="84"/>
      <c r="B93" s="73"/>
      <c r="C93" s="73"/>
      <c r="D93" s="73"/>
      <c r="E93" s="73"/>
      <c r="F93" s="73"/>
      <c r="G93" s="73"/>
      <c r="H93" s="73"/>
      <c r="I93" s="73"/>
      <c r="J93" s="73"/>
      <c r="K93" s="74"/>
    </row>
    <row r="94" customFormat="false" ht="14.25" hidden="false" customHeight="false" outlineLevel="0" collapsed="false">
      <c r="A94" s="84"/>
      <c r="B94" s="73"/>
      <c r="C94" s="73"/>
      <c r="D94" s="73"/>
      <c r="E94" s="73"/>
      <c r="F94" s="73"/>
      <c r="G94" s="73"/>
      <c r="H94" s="73"/>
      <c r="I94" s="73"/>
      <c r="J94" s="73"/>
      <c r="K94" s="74"/>
    </row>
    <row r="95" customFormat="false" ht="14.25" hidden="false" customHeight="false" outlineLevel="0" collapsed="false">
      <c r="A95" s="84"/>
      <c r="B95" s="73"/>
      <c r="C95" s="73"/>
      <c r="D95" s="73"/>
      <c r="E95" s="73"/>
      <c r="F95" s="73"/>
      <c r="G95" s="73"/>
      <c r="H95" s="73"/>
      <c r="I95" s="73"/>
      <c r="J95" s="73"/>
      <c r="K95" s="74"/>
    </row>
    <row r="96" customFormat="false" ht="14.25" hidden="false" customHeight="false" outlineLevel="0" collapsed="false">
      <c r="A96" s="84"/>
      <c r="B96" s="73"/>
      <c r="C96" s="73"/>
      <c r="D96" s="73"/>
      <c r="E96" s="73"/>
      <c r="F96" s="73"/>
      <c r="G96" s="73"/>
      <c r="H96" s="73"/>
      <c r="I96" s="73"/>
      <c r="J96" s="73"/>
      <c r="K96" s="74"/>
    </row>
    <row r="97" customFormat="false" ht="14.25" hidden="false" customHeight="false" outlineLevel="0" collapsed="false">
      <c r="A97" s="84"/>
      <c r="B97" s="73"/>
      <c r="C97" s="73"/>
      <c r="D97" s="73"/>
      <c r="E97" s="73"/>
      <c r="F97" s="73"/>
      <c r="G97" s="73"/>
      <c r="H97" s="73"/>
      <c r="I97" s="73"/>
      <c r="J97" s="73"/>
      <c r="K97" s="74"/>
    </row>
    <row r="98" customFormat="false" ht="14.25" hidden="false" customHeight="false" outlineLevel="0" collapsed="false">
      <c r="A98" s="84"/>
      <c r="B98" s="73"/>
      <c r="C98" s="73"/>
      <c r="D98" s="73"/>
      <c r="E98" s="73"/>
      <c r="F98" s="73"/>
      <c r="G98" s="73"/>
      <c r="H98" s="73"/>
      <c r="I98" s="73"/>
      <c r="J98" s="73"/>
      <c r="K98" s="74"/>
    </row>
    <row r="99" customFormat="false" ht="14.25" hidden="false" customHeight="false" outlineLevel="0" collapsed="false">
      <c r="A99" s="84"/>
      <c r="B99" s="73"/>
      <c r="C99" s="73"/>
      <c r="D99" s="73"/>
      <c r="E99" s="73"/>
      <c r="F99" s="73"/>
      <c r="G99" s="73"/>
      <c r="H99" s="73"/>
      <c r="I99" s="73"/>
      <c r="J99" s="73"/>
      <c r="K99" s="74"/>
    </row>
    <row r="100" customFormat="false" ht="14.25" hidden="false" customHeight="false" outlineLevel="0" collapsed="false">
      <c r="A100" s="84"/>
      <c r="B100" s="73"/>
      <c r="C100" s="73"/>
      <c r="D100" s="73"/>
      <c r="E100" s="73"/>
      <c r="F100" s="73"/>
      <c r="G100" s="73"/>
      <c r="H100" s="73"/>
      <c r="I100" s="73"/>
      <c r="J100" s="73"/>
      <c r="K100" s="74"/>
    </row>
    <row r="101" customFormat="false" ht="14.25" hidden="false" customHeight="false" outlineLevel="0" collapsed="false">
      <c r="A101" s="84"/>
      <c r="B101" s="73"/>
      <c r="C101" s="73"/>
      <c r="D101" s="73"/>
      <c r="E101" s="73"/>
      <c r="F101" s="73"/>
      <c r="G101" s="73"/>
      <c r="H101" s="73"/>
      <c r="I101" s="73"/>
      <c r="J101" s="73"/>
      <c r="K101" s="74"/>
    </row>
    <row r="102" customFormat="false" ht="14.25" hidden="false" customHeight="false" outlineLevel="0" collapsed="false">
      <c r="A102" s="84"/>
      <c r="B102" s="73"/>
      <c r="C102" s="73"/>
      <c r="D102" s="73"/>
      <c r="E102" s="73"/>
      <c r="F102" s="73"/>
      <c r="G102" s="73"/>
      <c r="H102" s="73"/>
      <c r="I102" s="73"/>
      <c r="J102" s="73"/>
      <c r="K102" s="74"/>
    </row>
    <row r="103" customFormat="false" ht="14.25" hidden="false" customHeight="false" outlineLevel="0" collapsed="false">
      <c r="A103" s="84"/>
      <c r="B103" s="73"/>
      <c r="C103" s="73"/>
      <c r="D103" s="73"/>
      <c r="E103" s="73"/>
      <c r="F103" s="73"/>
      <c r="G103" s="73"/>
      <c r="H103" s="73"/>
      <c r="I103" s="73"/>
      <c r="J103" s="73"/>
      <c r="K103" s="74"/>
    </row>
    <row r="104" customFormat="false" ht="14.25" hidden="false" customHeight="false" outlineLevel="0" collapsed="false">
      <c r="A104" s="84"/>
      <c r="B104" s="73"/>
      <c r="C104" s="73"/>
      <c r="D104" s="73"/>
      <c r="E104" s="73"/>
      <c r="F104" s="73"/>
      <c r="G104" s="73"/>
      <c r="H104" s="73"/>
      <c r="I104" s="73"/>
      <c r="J104" s="73"/>
      <c r="K104" s="74"/>
    </row>
    <row r="105" customFormat="false" ht="14.25" hidden="false" customHeight="false" outlineLevel="0" collapsed="false">
      <c r="A105" s="84"/>
      <c r="B105" s="73"/>
      <c r="C105" s="73"/>
      <c r="D105" s="73"/>
      <c r="E105" s="73"/>
      <c r="F105" s="73"/>
      <c r="G105" s="73"/>
      <c r="H105" s="73"/>
      <c r="I105" s="73"/>
      <c r="J105" s="73"/>
      <c r="K105" s="74"/>
    </row>
    <row r="106" customFormat="false" ht="14.25" hidden="false" customHeight="false" outlineLevel="0" collapsed="false">
      <c r="A106" s="86"/>
      <c r="B106" s="73"/>
      <c r="C106" s="87"/>
      <c r="D106" s="70"/>
      <c r="E106" s="70"/>
      <c r="F106" s="70"/>
      <c r="G106" s="70"/>
      <c r="H106" s="70"/>
      <c r="I106" s="70"/>
      <c r="J106" s="70"/>
      <c r="K106" s="71"/>
    </row>
    <row r="107" customFormat="false" ht="14.25" hidden="false" customHeight="false" outlineLevel="0" collapsed="false">
      <c r="A107" s="84"/>
      <c r="B107" s="73"/>
      <c r="C107" s="73"/>
      <c r="D107" s="73"/>
      <c r="E107" s="73"/>
      <c r="F107" s="73"/>
      <c r="G107" s="73"/>
      <c r="H107" s="73"/>
      <c r="I107" s="73"/>
      <c r="J107" s="73"/>
      <c r="K107" s="74"/>
    </row>
    <row r="108" customFormat="false" ht="14.25" hidden="false" customHeight="false" outlineLevel="0" collapsed="false">
      <c r="A108" s="84"/>
      <c r="B108" s="73"/>
      <c r="C108" s="73"/>
      <c r="D108" s="73"/>
      <c r="E108" s="73"/>
      <c r="F108" s="73"/>
      <c r="G108" s="73"/>
      <c r="H108" s="73"/>
      <c r="I108" s="73"/>
      <c r="J108" s="73"/>
      <c r="K108" s="74"/>
    </row>
    <row r="109" customFormat="false" ht="14.25" hidden="false" customHeight="false" outlineLevel="0" collapsed="false">
      <c r="A109" s="85"/>
      <c r="B109" s="73"/>
      <c r="C109" s="80"/>
      <c r="D109" s="80"/>
      <c r="E109" s="80"/>
      <c r="F109" s="80"/>
      <c r="G109" s="80"/>
      <c r="H109" s="80"/>
      <c r="I109" s="80"/>
      <c r="J109" s="80"/>
      <c r="K109" s="81"/>
    </row>
    <row r="110" customFormat="false" ht="14.25" hidden="false" customHeight="false" outlineLevel="0" collapsed="false">
      <c r="A110" s="84"/>
      <c r="B110" s="73"/>
      <c r="C110" s="73"/>
      <c r="D110" s="73"/>
      <c r="E110" s="73"/>
      <c r="F110" s="73"/>
      <c r="G110" s="73"/>
      <c r="H110" s="73"/>
      <c r="I110" s="73"/>
      <c r="J110" s="73"/>
      <c r="K110" s="74"/>
    </row>
    <row r="111" customFormat="false" ht="14.25" hidden="false" customHeight="false" outlineLevel="0" collapsed="false">
      <c r="A111" s="84"/>
      <c r="B111" s="73"/>
      <c r="C111" s="73"/>
      <c r="D111" s="73"/>
      <c r="E111" s="73"/>
      <c r="F111" s="73"/>
      <c r="G111" s="73"/>
      <c r="H111" s="73"/>
      <c r="I111" s="73"/>
      <c r="J111" s="73"/>
      <c r="K111" s="74"/>
    </row>
    <row r="112" customFormat="false" ht="14.25" hidden="false" customHeight="false" outlineLevel="0" collapsed="false">
      <c r="A112" s="84"/>
      <c r="B112" s="73"/>
      <c r="C112" s="73"/>
      <c r="D112" s="73"/>
      <c r="E112" s="73"/>
      <c r="F112" s="73"/>
      <c r="G112" s="73"/>
      <c r="H112" s="73"/>
      <c r="I112" s="73"/>
      <c r="J112" s="73"/>
      <c r="K112" s="74"/>
    </row>
    <row r="113" customFormat="false" ht="14.25" hidden="false" customHeight="false" outlineLevel="0" collapsed="false">
      <c r="A113" s="84"/>
      <c r="B113" s="73"/>
      <c r="C113" s="73"/>
      <c r="D113" s="73"/>
      <c r="E113" s="73"/>
      <c r="F113" s="73"/>
      <c r="G113" s="73"/>
      <c r="H113" s="73"/>
      <c r="I113" s="73"/>
      <c r="J113" s="73"/>
      <c r="K113" s="74"/>
    </row>
    <row r="114" customFormat="false" ht="14.25" hidden="false" customHeight="false" outlineLevel="0" collapsed="false">
      <c r="A114" s="84"/>
      <c r="B114" s="73"/>
      <c r="C114" s="73"/>
      <c r="D114" s="73"/>
      <c r="E114" s="73"/>
      <c r="F114" s="73"/>
      <c r="G114" s="73"/>
      <c r="H114" s="73"/>
      <c r="I114" s="73"/>
      <c r="J114" s="73"/>
      <c r="K114" s="74"/>
    </row>
    <row r="115" customFormat="false" ht="14.25" hidden="false" customHeight="false" outlineLevel="0" collapsed="false">
      <c r="A115" s="85"/>
      <c r="B115" s="73"/>
      <c r="C115" s="80"/>
      <c r="D115" s="80"/>
      <c r="E115" s="80"/>
      <c r="F115" s="80"/>
      <c r="G115" s="80"/>
      <c r="H115" s="80"/>
      <c r="I115" s="80"/>
      <c r="J115" s="80"/>
      <c r="K115" s="81"/>
    </row>
    <row r="116" customFormat="false" ht="14.25" hidden="false" customHeight="false" outlineLevel="0" collapsed="false">
      <c r="A116" s="84"/>
      <c r="B116" s="73"/>
      <c r="C116" s="73"/>
      <c r="D116" s="73"/>
      <c r="E116" s="73"/>
      <c r="F116" s="73"/>
      <c r="G116" s="73"/>
      <c r="H116" s="73"/>
      <c r="I116" s="73"/>
      <c r="J116" s="73"/>
      <c r="K116" s="74"/>
    </row>
    <row r="117" customFormat="false" ht="14.25" hidden="false" customHeight="false" outlineLevel="0" collapsed="false">
      <c r="A117" s="84"/>
      <c r="B117" s="73"/>
      <c r="C117" s="73"/>
      <c r="D117" s="73"/>
      <c r="E117" s="73"/>
      <c r="F117" s="73"/>
      <c r="G117" s="73"/>
      <c r="H117" s="73"/>
      <c r="I117" s="73"/>
      <c r="J117" s="73"/>
      <c r="K117" s="74"/>
    </row>
    <row r="118" customFormat="false" ht="14.25" hidden="false" customHeight="false" outlineLevel="0" collapsed="false">
      <c r="A118" s="84"/>
      <c r="B118" s="73"/>
      <c r="C118" s="73"/>
      <c r="D118" s="73"/>
      <c r="E118" s="73"/>
      <c r="F118" s="73"/>
      <c r="G118" s="73"/>
      <c r="H118" s="73"/>
      <c r="I118" s="73"/>
      <c r="J118" s="73"/>
      <c r="K118" s="74"/>
    </row>
    <row r="119" customFormat="false" ht="14.25" hidden="false" customHeight="false" outlineLevel="0" collapsed="false">
      <c r="A119" s="84"/>
      <c r="B119" s="73"/>
      <c r="C119" s="73"/>
      <c r="D119" s="73"/>
      <c r="E119" s="73"/>
      <c r="F119" s="73"/>
      <c r="G119" s="73"/>
      <c r="H119" s="73"/>
      <c r="I119" s="73"/>
      <c r="J119" s="73"/>
      <c r="K119" s="74"/>
    </row>
    <row r="120" customFormat="false" ht="14.25" hidden="false" customHeight="false" outlineLevel="0" collapsed="false">
      <c r="A120" s="84"/>
      <c r="B120" s="73"/>
      <c r="C120" s="73"/>
      <c r="D120" s="73"/>
      <c r="E120" s="73"/>
      <c r="F120" s="73"/>
      <c r="G120" s="73"/>
      <c r="H120" s="73"/>
      <c r="I120" s="73"/>
      <c r="J120" s="73"/>
      <c r="K120" s="74"/>
    </row>
    <row r="121" customFormat="false" ht="14.25" hidden="false" customHeight="false" outlineLevel="0" collapsed="false">
      <c r="A121" s="84"/>
      <c r="B121" s="73"/>
      <c r="C121" s="73"/>
      <c r="D121" s="73"/>
      <c r="E121" s="73"/>
      <c r="F121" s="73"/>
      <c r="G121" s="73"/>
      <c r="H121" s="73"/>
      <c r="I121" s="73"/>
      <c r="J121" s="73"/>
      <c r="K121" s="74"/>
    </row>
    <row r="122" customFormat="false" ht="14.25" hidden="false" customHeight="false" outlineLevel="0" collapsed="false">
      <c r="A122" s="84"/>
      <c r="B122" s="73"/>
      <c r="C122" s="73"/>
      <c r="D122" s="73"/>
      <c r="E122" s="73"/>
      <c r="F122" s="73"/>
      <c r="G122" s="73"/>
      <c r="H122" s="73"/>
      <c r="I122" s="73"/>
      <c r="J122" s="73"/>
      <c r="K122" s="74"/>
    </row>
    <row r="123" customFormat="false" ht="14.25" hidden="false" customHeight="false" outlineLevel="0" collapsed="false">
      <c r="A123" s="84"/>
      <c r="B123" s="73"/>
      <c r="C123" s="73"/>
      <c r="D123" s="73"/>
      <c r="E123" s="73"/>
      <c r="F123" s="73"/>
      <c r="G123" s="73"/>
      <c r="H123" s="73"/>
      <c r="I123" s="73"/>
      <c r="J123" s="73"/>
      <c r="K123" s="74"/>
    </row>
    <row r="124" customFormat="false" ht="14.25" hidden="false" customHeight="false" outlineLevel="0" collapsed="false">
      <c r="A124" s="84"/>
      <c r="B124" s="73"/>
      <c r="C124" s="73"/>
      <c r="D124" s="73"/>
      <c r="E124" s="73"/>
      <c r="F124" s="73"/>
      <c r="G124" s="73"/>
      <c r="H124" s="73"/>
      <c r="I124" s="73"/>
      <c r="J124" s="73"/>
      <c r="K124" s="74"/>
    </row>
    <row r="125" customFormat="false" ht="14.25" hidden="false" customHeight="false" outlineLevel="0" collapsed="false">
      <c r="A125" s="84"/>
      <c r="B125" s="73"/>
      <c r="C125" s="73"/>
      <c r="D125" s="73"/>
      <c r="E125" s="73"/>
      <c r="F125" s="73"/>
      <c r="G125" s="73"/>
      <c r="H125" s="73"/>
      <c r="I125" s="73"/>
      <c r="J125" s="73"/>
      <c r="K125" s="74"/>
    </row>
    <row r="126" customFormat="false" ht="14.25" hidden="false" customHeight="false" outlineLevel="0" collapsed="false">
      <c r="A126" s="84"/>
      <c r="B126" s="73"/>
      <c r="C126" s="73"/>
      <c r="D126" s="73"/>
      <c r="E126" s="73"/>
      <c r="F126" s="73"/>
      <c r="G126" s="73"/>
      <c r="H126" s="73"/>
      <c r="I126" s="73"/>
      <c r="J126" s="73"/>
      <c r="K126" s="74"/>
    </row>
    <row r="127" customFormat="false" ht="14.25" hidden="false" customHeight="false" outlineLevel="0" collapsed="false">
      <c r="A127" s="84"/>
      <c r="B127" s="73"/>
      <c r="C127" s="73"/>
      <c r="D127" s="73"/>
      <c r="E127" s="73"/>
      <c r="F127" s="73"/>
      <c r="G127" s="73"/>
      <c r="H127" s="73"/>
      <c r="I127" s="73"/>
      <c r="J127" s="73"/>
      <c r="K127" s="74"/>
    </row>
    <row r="128" customFormat="false" ht="14.25" hidden="false" customHeight="false" outlineLevel="0" collapsed="false">
      <c r="A128" s="84"/>
      <c r="B128" s="73"/>
      <c r="C128" s="73"/>
      <c r="D128" s="73"/>
      <c r="E128" s="73"/>
      <c r="F128" s="73"/>
      <c r="G128" s="73"/>
      <c r="H128" s="73"/>
      <c r="I128" s="73"/>
      <c r="J128" s="73"/>
      <c r="K128" s="74"/>
    </row>
    <row r="129" customFormat="false" ht="14.25" hidden="false" customHeight="false" outlineLevel="0" collapsed="false">
      <c r="A129" s="84"/>
      <c r="B129" s="73"/>
      <c r="C129" s="73"/>
      <c r="D129" s="73"/>
      <c r="E129" s="73"/>
      <c r="F129" s="73"/>
      <c r="G129" s="73"/>
      <c r="H129" s="73"/>
      <c r="I129" s="73"/>
      <c r="J129" s="73"/>
      <c r="K129" s="74"/>
    </row>
    <row r="130" customFormat="false" ht="14.25" hidden="false" customHeight="false" outlineLevel="0" collapsed="false">
      <c r="A130" s="84"/>
      <c r="B130" s="73"/>
      <c r="C130" s="73"/>
      <c r="D130" s="73"/>
      <c r="E130" s="73"/>
      <c r="F130" s="73"/>
      <c r="G130" s="73"/>
      <c r="H130" s="73"/>
      <c r="I130" s="73"/>
      <c r="J130" s="73"/>
      <c r="K130" s="74"/>
    </row>
    <row r="131" customFormat="false" ht="14.25" hidden="false" customHeight="false" outlineLevel="0" collapsed="false">
      <c r="A131" s="84"/>
      <c r="B131" s="73"/>
      <c r="C131" s="73"/>
      <c r="D131" s="73"/>
      <c r="E131" s="73"/>
      <c r="F131" s="73"/>
      <c r="G131" s="73"/>
      <c r="H131" s="73"/>
      <c r="I131" s="73"/>
      <c r="J131" s="73"/>
      <c r="K131" s="74"/>
    </row>
    <row r="132" customFormat="false" ht="14.25" hidden="false" customHeight="false" outlineLevel="0" collapsed="false">
      <c r="A132" s="84"/>
      <c r="B132" s="73"/>
      <c r="C132" s="73"/>
      <c r="D132" s="73"/>
      <c r="E132" s="73"/>
      <c r="F132" s="73"/>
      <c r="G132" s="73"/>
      <c r="H132" s="73"/>
      <c r="I132" s="73"/>
      <c r="J132" s="73"/>
      <c r="K132" s="74"/>
    </row>
    <row r="133" customFormat="false" ht="14.25" hidden="false" customHeight="false" outlineLevel="0" collapsed="false">
      <c r="A133" s="84"/>
      <c r="B133" s="73"/>
      <c r="C133" s="73"/>
      <c r="D133" s="73"/>
      <c r="E133" s="73"/>
      <c r="F133" s="73"/>
      <c r="G133" s="73"/>
      <c r="H133" s="73"/>
      <c r="I133" s="73"/>
      <c r="J133" s="73"/>
      <c r="K133" s="74"/>
    </row>
    <row r="134" customFormat="false" ht="14.25" hidden="false" customHeight="false" outlineLevel="0" collapsed="false">
      <c r="A134" s="84"/>
      <c r="B134" s="73"/>
      <c r="C134" s="73"/>
      <c r="D134" s="73"/>
      <c r="E134" s="73"/>
      <c r="F134" s="73"/>
      <c r="G134" s="73"/>
      <c r="H134" s="73"/>
      <c r="I134" s="73"/>
      <c r="J134" s="73"/>
      <c r="K134" s="74"/>
    </row>
    <row r="135" customFormat="false" ht="14.25" hidden="false" customHeight="false" outlineLevel="0" collapsed="false">
      <c r="A135" s="84"/>
      <c r="B135" s="73"/>
      <c r="C135" s="73"/>
      <c r="D135" s="73"/>
      <c r="E135" s="73"/>
      <c r="F135" s="73"/>
      <c r="G135" s="73"/>
      <c r="H135" s="73"/>
      <c r="I135" s="73"/>
      <c r="J135" s="73"/>
      <c r="K135" s="74"/>
    </row>
    <row r="136" customFormat="false" ht="14.25" hidden="false" customHeight="false" outlineLevel="0" collapsed="false">
      <c r="A136" s="84"/>
      <c r="B136" s="73"/>
      <c r="C136" s="73"/>
      <c r="D136" s="73"/>
      <c r="E136" s="73"/>
      <c r="F136" s="73"/>
      <c r="G136" s="73"/>
      <c r="H136" s="73"/>
      <c r="I136" s="73"/>
      <c r="J136" s="73"/>
      <c r="K136" s="74"/>
    </row>
    <row r="137" customFormat="false" ht="14.25" hidden="false" customHeight="false" outlineLevel="0" collapsed="false">
      <c r="A137" s="84"/>
      <c r="B137" s="73"/>
      <c r="C137" s="73"/>
      <c r="D137" s="73"/>
      <c r="E137" s="73"/>
      <c r="F137" s="73"/>
      <c r="G137" s="73"/>
      <c r="H137" s="73"/>
      <c r="I137" s="73"/>
      <c r="J137" s="73"/>
      <c r="K137" s="74"/>
    </row>
    <row r="138" customFormat="false" ht="14.25" hidden="false" customHeight="false" outlineLevel="0" collapsed="false">
      <c r="A138" s="84"/>
      <c r="B138" s="73"/>
      <c r="C138" s="73"/>
      <c r="D138" s="73"/>
      <c r="E138" s="73"/>
      <c r="F138" s="73"/>
      <c r="G138" s="73"/>
      <c r="H138" s="73"/>
      <c r="I138" s="73"/>
      <c r="J138" s="73"/>
      <c r="K138" s="74"/>
    </row>
    <row r="139" customFormat="false" ht="14.25" hidden="false" customHeight="false" outlineLevel="0" collapsed="false">
      <c r="A139" s="86"/>
      <c r="B139" s="73"/>
      <c r="C139" s="87"/>
      <c r="D139" s="70"/>
      <c r="E139" s="70"/>
      <c r="F139" s="70"/>
      <c r="G139" s="70"/>
      <c r="H139" s="70"/>
      <c r="I139" s="70"/>
      <c r="J139" s="70"/>
      <c r="K139" s="71"/>
    </row>
    <row r="140" customFormat="false" ht="14.25" hidden="false" customHeight="false" outlineLevel="0" collapsed="false">
      <c r="A140" s="84"/>
      <c r="B140" s="73"/>
      <c r="C140" s="73"/>
      <c r="D140" s="73"/>
      <c r="E140" s="73"/>
      <c r="F140" s="73"/>
      <c r="G140" s="73"/>
      <c r="H140" s="73"/>
      <c r="I140" s="73"/>
      <c r="J140" s="73"/>
      <c r="K140" s="74"/>
    </row>
    <row r="141" customFormat="false" ht="14.25" hidden="false" customHeight="false" outlineLevel="0" collapsed="false">
      <c r="A141" s="84"/>
      <c r="B141" s="73"/>
      <c r="C141" s="73"/>
      <c r="D141" s="73"/>
      <c r="E141" s="73"/>
      <c r="F141" s="73"/>
      <c r="G141" s="73"/>
      <c r="H141" s="73"/>
      <c r="I141" s="73"/>
      <c r="J141" s="73"/>
      <c r="K141" s="74"/>
    </row>
    <row r="142" customFormat="false" ht="14.25" hidden="false" customHeight="false" outlineLevel="0" collapsed="false">
      <c r="A142" s="84"/>
      <c r="B142" s="73"/>
      <c r="C142" s="73"/>
      <c r="D142" s="73"/>
      <c r="E142" s="73"/>
      <c r="F142" s="73"/>
      <c r="G142" s="73"/>
      <c r="H142" s="73"/>
      <c r="I142" s="73"/>
      <c r="J142" s="73"/>
      <c r="K142" s="74"/>
    </row>
    <row r="143" customFormat="false" ht="14.25" hidden="false" customHeight="false" outlineLevel="0" collapsed="false">
      <c r="A143" s="85"/>
      <c r="B143" s="73"/>
      <c r="C143" s="80"/>
      <c r="D143" s="80"/>
      <c r="E143" s="80"/>
      <c r="F143" s="80"/>
      <c r="G143" s="80"/>
      <c r="H143" s="80"/>
      <c r="I143" s="80"/>
      <c r="J143" s="80"/>
      <c r="K143" s="81"/>
    </row>
    <row r="144" customFormat="false" ht="14.25" hidden="false" customHeight="false" outlineLevel="0" collapsed="false">
      <c r="A144" s="84"/>
      <c r="B144" s="73"/>
      <c r="C144" s="73"/>
      <c r="D144" s="73"/>
      <c r="E144" s="73"/>
      <c r="F144" s="73"/>
      <c r="G144" s="73"/>
      <c r="H144" s="73"/>
      <c r="I144" s="73"/>
      <c r="J144" s="73"/>
      <c r="K144" s="74"/>
    </row>
    <row r="145" customFormat="false" ht="14.25" hidden="false" customHeight="false" outlineLevel="0" collapsed="false">
      <c r="A145" s="84"/>
      <c r="B145" s="73"/>
      <c r="C145" s="73"/>
      <c r="D145" s="73"/>
      <c r="E145" s="73"/>
      <c r="F145" s="73"/>
      <c r="G145" s="73"/>
      <c r="H145" s="73"/>
      <c r="I145" s="73"/>
      <c r="J145" s="73"/>
      <c r="K145" s="74"/>
    </row>
    <row r="146" customFormat="false" ht="14.25" hidden="false" customHeight="false" outlineLevel="0" collapsed="false">
      <c r="A146" s="84"/>
      <c r="B146" s="73"/>
      <c r="C146" s="73"/>
      <c r="D146" s="73"/>
      <c r="E146" s="73"/>
      <c r="F146" s="73"/>
      <c r="G146" s="73"/>
      <c r="H146" s="73"/>
      <c r="I146" s="73"/>
      <c r="J146" s="73"/>
      <c r="K146" s="74"/>
    </row>
    <row r="147" customFormat="false" ht="14.25" hidden="false" customHeight="false" outlineLevel="0" collapsed="false">
      <c r="A147" s="86"/>
      <c r="B147" s="70"/>
      <c r="C147" s="70"/>
      <c r="D147" s="70"/>
      <c r="E147" s="70"/>
      <c r="F147" s="70"/>
      <c r="G147" s="70"/>
      <c r="H147" s="70"/>
      <c r="I147" s="70"/>
      <c r="J147" s="70"/>
      <c r="K147" s="71"/>
    </row>
    <row r="148" customFormat="false" ht="14.25" hidden="false" customHeight="false" outlineLevel="0" collapsed="false">
      <c r="A148" s="84"/>
      <c r="B148" s="73"/>
      <c r="C148" s="73"/>
      <c r="D148" s="73"/>
      <c r="E148" s="73"/>
      <c r="F148" s="73"/>
      <c r="G148" s="73"/>
      <c r="H148" s="73"/>
      <c r="I148" s="73"/>
      <c r="J148" s="73"/>
      <c r="K148" s="74"/>
    </row>
    <row r="149" customFormat="false" ht="14.25" hidden="false" customHeight="false" outlineLevel="0" collapsed="false">
      <c r="A149" s="84"/>
      <c r="B149" s="73"/>
      <c r="C149" s="73"/>
      <c r="D149" s="73"/>
      <c r="E149" s="73"/>
      <c r="F149" s="73"/>
      <c r="G149" s="73"/>
      <c r="H149" s="73"/>
      <c r="I149" s="73"/>
      <c r="J149" s="73"/>
      <c r="K149" s="74"/>
    </row>
    <row r="150" customFormat="false" ht="14.25" hidden="false" customHeight="false" outlineLevel="0" collapsed="false">
      <c r="A150" s="84"/>
      <c r="B150" s="73"/>
      <c r="C150" s="73"/>
      <c r="D150" s="73"/>
      <c r="E150" s="73"/>
      <c r="F150" s="73"/>
      <c r="G150" s="73"/>
      <c r="H150" s="73"/>
      <c r="I150" s="73"/>
      <c r="J150" s="73"/>
      <c r="K150" s="74"/>
    </row>
    <row r="151" customFormat="false" ht="14.25" hidden="false" customHeight="false" outlineLevel="0" collapsed="false">
      <c r="A151" s="85"/>
      <c r="B151" s="80"/>
      <c r="C151" s="80"/>
      <c r="D151" s="80"/>
      <c r="E151" s="80"/>
      <c r="F151" s="80"/>
      <c r="G151" s="80"/>
      <c r="H151" s="80"/>
      <c r="I151" s="80"/>
      <c r="J151" s="80"/>
      <c r="K151" s="81"/>
    </row>
    <row r="152" customFormat="false" ht="14.25" hidden="false" customHeight="false" outlineLevel="0" collapsed="false">
      <c r="A152" s="84"/>
      <c r="B152" s="73"/>
      <c r="C152" s="73"/>
      <c r="D152" s="73"/>
      <c r="E152" s="73"/>
      <c r="F152" s="73"/>
      <c r="G152" s="73"/>
      <c r="H152" s="73"/>
      <c r="I152" s="73"/>
      <c r="J152" s="73"/>
      <c r="K152" s="74"/>
    </row>
    <row r="153" customFormat="false" ht="14.25" hidden="false" customHeight="false" outlineLevel="0" collapsed="false">
      <c r="A153" s="84"/>
      <c r="B153" s="73"/>
      <c r="C153" s="73"/>
      <c r="D153" s="73"/>
      <c r="E153" s="73"/>
      <c r="F153" s="73"/>
      <c r="G153" s="73"/>
      <c r="H153" s="73"/>
      <c r="I153" s="73"/>
      <c r="J153" s="73"/>
      <c r="K153" s="74"/>
    </row>
    <row r="154" customFormat="false" ht="14.25" hidden="false" customHeight="false" outlineLevel="0" collapsed="false">
      <c r="A154" s="84"/>
      <c r="B154" s="73"/>
      <c r="C154" s="73"/>
      <c r="D154" s="73"/>
      <c r="E154" s="73"/>
      <c r="F154" s="73"/>
      <c r="G154" s="73"/>
      <c r="H154" s="73"/>
      <c r="I154" s="73"/>
      <c r="J154" s="73"/>
      <c r="K154" s="74"/>
    </row>
    <row r="155" customFormat="false" ht="14.25" hidden="false" customHeight="false" outlineLevel="0" collapsed="false">
      <c r="A155" s="84"/>
      <c r="B155" s="73"/>
      <c r="C155" s="73"/>
      <c r="D155" s="73"/>
      <c r="E155" s="73"/>
      <c r="F155" s="73"/>
      <c r="G155" s="73"/>
      <c r="H155" s="73"/>
      <c r="I155" s="73"/>
      <c r="J155" s="73"/>
      <c r="K155" s="74"/>
    </row>
    <row r="156" customFormat="false" ht="14.25" hidden="false" customHeight="false" outlineLevel="0" collapsed="false">
      <c r="A156" s="84"/>
      <c r="B156" s="73"/>
      <c r="C156" s="73"/>
      <c r="D156" s="73"/>
      <c r="E156" s="73"/>
      <c r="F156" s="73"/>
      <c r="G156" s="73"/>
      <c r="H156" s="73"/>
      <c r="I156" s="73"/>
      <c r="J156" s="73"/>
      <c r="K156" s="74"/>
    </row>
    <row r="157" customFormat="false" ht="14.25" hidden="false" customHeight="false" outlineLevel="0" collapsed="false">
      <c r="A157" s="84"/>
      <c r="B157" s="73"/>
      <c r="C157" s="73"/>
      <c r="D157" s="73"/>
      <c r="E157" s="73"/>
      <c r="F157" s="73"/>
      <c r="G157" s="73"/>
      <c r="H157" s="73"/>
      <c r="I157" s="73"/>
      <c r="J157" s="73"/>
      <c r="K157" s="74"/>
    </row>
    <row r="158" customFormat="false" ht="14.25" hidden="false" customHeight="false" outlineLevel="0" collapsed="false">
      <c r="A158" s="84"/>
      <c r="B158" s="73"/>
      <c r="C158" s="73"/>
      <c r="D158" s="73"/>
      <c r="E158" s="73"/>
      <c r="F158" s="73"/>
      <c r="G158" s="73"/>
      <c r="H158" s="73"/>
      <c r="I158" s="73"/>
      <c r="J158" s="73"/>
      <c r="K158" s="74"/>
    </row>
    <row r="159" customFormat="false" ht="14.25" hidden="false" customHeight="false" outlineLevel="0" collapsed="false">
      <c r="A159" s="84"/>
      <c r="B159" s="73"/>
      <c r="C159" s="73"/>
      <c r="D159" s="73"/>
      <c r="E159" s="73"/>
      <c r="F159" s="73"/>
      <c r="G159" s="73"/>
      <c r="H159" s="73"/>
      <c r="I159" s="73"/>
      <c r="J159" s="73"/>
      <c r="K159" s="74"/>
    </row>
    <row r="160" customFormat="false" ht="14.25" hidden="false" customHeight="false" outlineLevel="0" collapsed="false">
      <c r="A160" s="84"/>
      <c r="B160" s="73"/>
      <c r="C160" s="73"/>
      <c r="D160" s="73"/>
      <c r="E160" s="73"/>
      <c r="F160" s="73"/>
      <c r="G160" s="73"/>
      <c r="H160" s="73"/>
      <c r="I160" s="73"/>
      <c r="J160" s="73"/>
      <c r="K160" s="74"/>
    </row>
    <row r="161" customFormat="false" ht="14.25" hidden="false" customHeight="false" outlineLevel="0" collapsed="false">
      <c r="A161" s="84"/>
      <c r="B161" s="73"/>
      <c r="C161" s="73"/>
      <c r="D161" s="73"/>
      <c r="E161" s="73"/>
      <c r="F161" s="73"/>
      <c r="G161" s="73"/>
      <c r="H161" s="73"/>
      <c r="I161" s="73"/>
      <c r="J161" s="73"/>
      <c r="K161" s="74"/>
    </row>
    <row r="162" customFormat="false" ht="14.25" hidden="false" customHeight="false" outlineLevel="0" collapsed="false">
      <c r="A162" s="84"/>
      <c r="B162" s="73"/>
      <c r="C162" s="73"/>
      <c r="D162" s="73"/>
      <c r="E162" s="73"/>
      <c r="F162" s="73"/>
      <c r="G162" s="73"/>
      <c r="H162" s="73"/>
      <c r="I162" s="73"/>
      <c r="J162" s="73"/>
      <c r="K162" s="74"/>
    </row>
    <row r="163" customFormat="false" ht="14.25" hidden="false" customHeight="false" outlineLevel="0" collapsed="false">
      <c r="A163" s="84"/>
      <c r="B163" s="73"/>
      <c r="C163" s="73"/>
      <c r="D163" s="73"/>
      <c r="E163" s="73"/>
      <c r="F163" s="73"/>
      <c r="G163" s="73"/>
      <c r="H163" s="73"/>
      <c r="I163" s="73"/>
      <c r="J163" s="73"/>
      <c r="K163" s="74"/>
    </row>
    <row r="164" customFormat="false" ht="14.25" hidden="false" customHeight="false" outlineLevel="0" collapsed="false">
      <c r="A164" s="84"/>
      <c r="B164" s="73"/>
      <c r="C164" s="73"/>
      <c r="D164" s="73"/>
      <c r="E164" s="73"/>
      <c r="F164" s="73"/>
      <c r="G164" s="73"/>
      <c r="H164" s="73"/>
      <c r="I164" s="73"/>
      <c r="J164" s="73"/>
      <c r="K164" s="74"/>
    </row>
    <row r="165" customFormat="false" ht="14.25" hidden="false" customHeight="false" outlineLevel="0" collapsed="false">
      <c r="A165" s="84"/>
      <c r="B165" s="73"/>
      <c r="C165" s="73"/>
      <c r="D165" s="73"/>
      <c r="E165" s="73"/>
      <c r="F165" s="73"/>
      <c r="G165" s="73"/>
      <c r="H165" s="73"/>
      <c r="I165" s="73"/>
      <c r="J165" s="73"/>
      <c r="K165" s="74"/>
    </row>
    <row r="166" customFormat="false" ht="14.25" hidden="false" customHeight="false" outlineLevel="0" collapsed="false">
      <c r="A166" s="84"/>
      <c r="B166" s="73"/>
      <c r="C166" s="73"/>
      <c r="D166" s="73"/>
      <c r="E166" s="73"/>
      <c r="F166" s="73"/>
      <c r="G166" s="73"/>
      <c r="H166" s="73"/>
      <c r="I166" s="73"/>
      <c r="J166" s="73"/>
      <c r="K166" s="74"/>
    </row>
    <row r="167" customFormat="false" ht="14.25" hidden="false" customHeight="false" outlineLevel="0" collapsed="false">
      <c r="A167" s="84"/>
      <c r="B167" s="73"/>
      <c r="C167" s="73"/>
      <c r="D167" s="73"/>
      <c r="E167" s="73"/>
      <c r="F167" s="73"/>
      <c r="G167" s="73"/>
      <c r="H167" s="73"/>
      <c r="I167" s="73"/>
      <c r="J167" s="73"/>
      <c r="K167" s="74"/>
    </row>
    <row r="168" customFormat="false" ht="14.25" hidden="false" customHeight="false" outlineLevel="0" collapsed="false">
      <c r="A168" s="84"/>
      <c r="B168" s="73"/>
      <c r="C168" s="73"/>
      <c r="D168" s="73"/>
      <c r="E168" s="73"/>
      <c r="F168" s="73"/>
      <c r="G168" s="73"/>
      <c r="H168" s="73"/>
      <c r="I168" s="73"/>
      <c r="J168" s="73"/>
      <c r="K168" s="74"/>
    </row>
    <row r="169" customFormat="false" ht="14.25" hidden="false" customHeight="false" outlineLevel="0" collapsed="false">
      <c r="A169" s="84"/>
      <c r="B169" s="73"/>
      <c r="C169" s="73"/>
      <c r="D169" s="73"/>
      <c r="E169" s="73"/>
      <c r="F169" s="73"/>
      <c r="G169" s="73"/>
      <c r="H169" s="73"/>
      <c r="I169" s="73"/>
      <c r="J169" s="73"/>
      <c r="K169" s="74"/>
    </row>
    <row r="170" customFormat="false" ht="14.25" hidden="false" customHeight="false" outlineLevel="0" collapsed="false">
      <c r="A170" s="84"/>
      <c r="B170" s="73"/>
      <c r="C170" s="73"/>
      <c r="D170" s="73"/>
      <c r="E170" s="73"/>
      <c r="F170" s="73"/>
      <c r="G170" s="73"/>
      <c r="H170" s="73"/>
      <c r="I170" s="73"/>
      <c r="J170" s="73"/>
      <c r="K170" s="74"/>
    </row>
    <row r="171" customFormat="false" ht="14.25" hidden="false" customHeight="false" outlineLevel="0" collapsed="false">
      <c r="A171" s="86"/>
      <c r="B171" s="70"/>
      <c r="C171" s="70"/>
      <c r="D171" s="70"/>
      <c r="E171" s="70"/>
      <c r="F171" s="70"/>
      <c r="G171" s="70"/>
      <c r="H171" s="70"/>
      <c r="I171" s="70"/>
      <c r="J171" s="70"/>
      <c r="K171" s="71"/>
    </row>
    <row r="172" customFormat="false" ht="14.25" hidden="false" customHeight="false" outlineLevel="0" collapsed="false">
      <c r="A172" s="84"/>
      <c r="B172" s="73"/>
      <c r="C172" s="73"/>
      <c r="D172" s="73"/>
      <c r="E172" s="73"/>
      <c r="F172" s="73"/>
      <c r="G172" s="73"/>
      <c r="H172" s="73"/>
      <c r="I172" s="73"/>
      <c r="J172" s="73"/>
      <c r="K172" s="74"/>
    </row>
    <row r="173" customFormat="false" ht="14.25" hidden="false" customHeight="false" outlineLevel="0" collapsed="false">
      <c r="A173" s="84"/>
      <c r="B173" s="73"/>
      <c r="C173" s="73"/>
      <c r="D173" s="73"/>
      <c r="E173" s="73"/>
      <c r="F173" s="73"/>
      <c r="G173" s="73"/>
      <c r="H173" s="73"/>
      <c r="I173" s="73"/>
      <c r="J173" s="73"/>
      <c r="K173" s="74"/>
    </row>
    <row r="174" customFormat="false" ht="14.25" hidden="false" customHeight="false" outlineLevel="0" collapsed="false">
      <c r="A174" s="84"/>
      <c r="B174" s="73"/>
      <c r="C174" s="73"/>
      <c r="D174" s="73"/>
      <c r="E174" s="73"/>
      <c r="F174" s="73"/>
      <c r="G174" s="73"/>
      <c r="H174" s="73"/>
      <c r="I174" s="73"/>
      <c r="J174" s="73"/>
      <c r="K174" s="74"/>
    </row>
    <row r="175" customFormat="false" ht="14.25" hidden="false" customHeight="false" outlineLevel="0" collapsed="false">
      <c r="A175" s="85"/>
      <c r="B175" s="80"/>
      <c r="C175" s="80"/>
      <c r="D175" s="80"/>
      <c r="E175" s="80"/>
      <c r="F175" s="80"/>
      <c r="G175" s="80"/>
      <c r="H175" s="80"/>
      <c r="I175" s="80"/>
      <c r="J175" s="80"/>
      <c r="K175" s="81"/>
    </row>
    <row r="176" customFormat="false" ht="14.25" hidden="false" customHeight="false" outlineLevel="0" collapsed="false">
      <c r="A176" s="84"/>
      <c r="B176" s="73"/>
      <c r="C176" s="73"/>
      <c r="D176" s="73"/>
      <c r="E176" s="73"/>
      <c r="F176" s="73"/>
      <c r="G176" s="73"/>
      <c r="H176" s="73"/>
      <c r="I176" s="73"/>
      <c r="J176" s="73"/>
      <c r="K176" s="74"/>
    </row>
    <row r="177" customFormat="false" ht="14.25" hidden="false" customHeight="false" outlineLevel="0" collapsed="false">
      <c r="A177" s="84"/>
      <c r="B177" s="73"/>
      <c r="C177" s="73"/>
      <c r="D177" s="73"/>
      <c r="E177" s="73"/>
      <c r="F177" s="73"/>
      <c r="G177" s="73"/>
      <c r="H177" s="73"/>
      <c r="I177" s="73"/>
      <c r="J177" s="73"/>
      <c r="K177" s="74"/>
    </row>
    <row r="178" customFormat="false" ht="14.25" hidden="false" customHeight="false" outlineLevel="0" collapsed="false">
      <c r="A178" s="84"/>
      <c r="B178" s="73"/>
      <c r="C178" s="73"/>
      <c r="D178" s="73"/>
      <c r="E178" s="73"/>
      <c r="F178" s="73"/>
      <c r="G178" s="73"/>
      <c r="H178" s="73"/>
      <c r="I178" s="73"/>
      <c r="J178" s="73"/>
      <c r="K178" s="74"/>
    </row>
    <row r="179" customFormat="false" ht="14.25" hidden="false" customHeight="false" outlineLevel="0" collapsed="false">
      <c r="A179" s="84"/>
      <c r="B179" s="73"/>
      <c r="C179" s="73"/>
      <c r="D179" s="73"/>
      <c r="E179" s="73"/>
      <c r="F179" s="73"/>
      <c r="G179" s="73"/>
      <c r="H179" s="73"/>
      <c r="I179" s="73"/>
      <c r="J179" s="73"/>
      <c r="K179" s="74"/>
    </row>
    <row r="180" customFormat="false" ht="14.25" hidden="false" customHeight="false" outlineLevel="0" collapsed="false">
      <c r="A180" s="86"/>
      <c r="B180" s="70"/>
      <c r="C180" s="70"/>
      <c r="D180" s="70"/>
      <c r="E180" s="70"/>
      <c r="F180" s="70"/>
      <c r="G180" s="70"/>
      <c r="H180" s="70"/>
      <c r="I180" s="70"/>
      <c r="J180" s="70"/>
      <c r="K180" s="71"/>
    </row>
    <row r="181" customFormat="false" ht="14.25" hidden="false" customHeight="false" outlineLevel="0" collapsed="false">
      <c r="A181" s="84"/>
      <c r="B181" s="73"/>
      <c r="C181" s="73"/>
      <c r="D181" s="73"/>
      <c r="E181" s="73"/>
      <c r="F181" s="73"/>
      <c r="G181" s="73"/>
      <c r="H181" s="73"/>
      <c r="I181" s="73"/>
      <c r="J181" s="73"/>
      <c r="K181" s="74"/>
    </row>
    <row r="182" customFormat="false" ht="14.25" hidden="false" customHeight="false" outlineLevel="0" collapsed="false">
      <c r="A182" s="84"/>
      <c r="B182" s="73"/>
      <c r="C182" s="73"/>
      <c r="D182" s="73"/>
      <c r="E182" s="73"/>
      <c r="F182" s="73"/>
      <c r="G182" s="73"/>
      <c r="H182" s="73"/>
      <c r="I182" s="73"/>
      <c r="J182" s="73"/>
      <c r="K182" s="74"/>
    </row>
    <row r="183" customFormat="false" ht="14.25" hidden="false" customHeight="false" outlineLevel="0" collapsed="false">
      <c r="A183" s="84"/>
      <c r="B183" s="73"/>
      <c r="C183" s="73"/>
      <c r="D183" s="73"/>
      <c r="E183" s="73"/>
      <c r="F183" s="73"/>
      <c r="G183" s="73"/>
      <c r="H183" s="73"/>
      <c r="I183" s="73"/>
      <c r="J183" s="73"/>
      <c r="K183" s="74"/>
    </row>
    <row r="184" customFormat="false" ht="14.25" hidden="false" customHeight="false" outlineLevel="0" collapsed="false">
      <c r="A184" s="85"/>
      <c r="B184" s="80"/>
      <c r="C184" s="80"/>
      <c r="D184" s="80"/>
      <c r="E184" s="80"/>
      <c r="F184" s="80"/>
      <c r="G184" s="80"/>
      <c r="H184" s="80"/>
      <c r="I184" s="80"/>
      <c r="J184" s="80"/>
      <c r="K184" s="81"/>
    </row>
    <row r="185" customFormat="false" ht="14.25" hidden="false" customHeight="false" outlineLevel="0" collapsed="false">
      <c r="A185" s="84"/>
      <c r="B185" s="73"/>
      <c r="C185" s="73"/>
      <c r="D185" s="73"/>
      <c r="E185" s="73"/>
      <c r="F185" s="73"/>
      <c r="G185" s="73"/>
      <c r="H185" s="73"/>
      <c r="I185" s="73"/>
      <c r="J185" s="73"/>
      <c r="K185" s="74"/>
    </row>
    <row r="186" customFormat="false" ht="14.25" hidden="false" customHeight="false" outlineLevel="0" collapsed="false">
      <c r="A186" s="84"/>
      <c r="B186" s="73"/>
      <c r="C186" s="73"/>
      <c r="D186" s="73"/>
      <c r="E186" s="73"/>
      <c r="F186" s="73"/>
      <c r="G186" s="73"/>
      <c r="H186" s="73"/>
      <c r="I186" s="73"/>
      <c r="J186" s="73"/>
      <c r="K186" s="74"/>
    </row>
    <row r="187" customFormat="false" ht="14.25" hidden="false" customHeight="false" outlineLevel="0" collapsed="false">
      <c r="A187" s="84"/>
      <c r="B187" s="73"/>
      <c r="C187" s="73"/>
      <c r="D187" s="73"/>
      <c r="E187" s="73"/>
      <c r="F187" s="73"/>
      <c r="G187" s="73"/>
      <c r="H187" s="73"/>
      <c r="I187" s="73"/>
      <c r="J187" s="73"/>
      <c r="K187" s="74"/>
    </row>
    <row r="188" customFormat="false" ht="14.25" hidden="false" customHeight="false" outlineLevel="0" collapsed="false">
      <c r="A188" s="84"/>
      <c r="B188" s="73"/>
      <c r="C188" s="73"/>
      <c r="D188" s="73"/>
      <c r="E188" s="73"/>
      <c r="F188" s="73"/>
      <c r="G188" s="73"/>
      <c r="H188" s="73"/>
      <c r="I188" s="73"/>
      <c r="J188" s="73"/>
      <c r="K188" s="74"/>
    </row>
    <row r="189" customFormat="false" ht="14.25" hidden="false" customHeight="false" outlineLevel="0" collapsed="false">
      <c r="A189" s="84"/>
      <c r="B189" s="73"/>
      <c r="C189" s="73"/>
      <c r="D189" s="73"/>
      <c r="E189" s="73"/>
      <c r="F189" s="73"/>
      <c r="G189" s="73"/>
      <c r="H189" s="73"/>
      <c r="I189" s="73"/>
      <c r="J189" s="73"/>
      <c r="K189" s="74"/>
    </row>
    <row r="190" customFormat="false" ht="14.25" hidden="false" customHeight="false" outlineLevel="0" collapsed="false">
      <c r="A190" s="84"/>
      <c r="B190" s="73"/>
      <c r="C190" s="73"/>
      <c r="D190" s="73"/>
      <c r="E190" s="73"/>
      <c r="F190" s="73"/>
      <c r="G190" s="73"/>
      <c r="H190" s="73"/>
      <c r="I190" s="73"/>
      <c r="J190" s="73"/>
      <c r="K190" s="74"/>
    </row>
    <row r="191" customFormat="false" ht="14.25" hidden="false" customHeight="false" outlineLevel="0" collapsed="false">
      <c r="A191" s="84"/>
      <c r="B191" s="73"/>
      <c r="C191" s="73"/>
      <c r="D191" s="73"/>
      <c r="E191" s="73"/>
      <c r="F191" s="73"/>
      <c r="G191" s="73"/>
      <c r="H191" s="73"/>
      <c r="I191" s="73"/>
      <c r="J191" s="73"/>
      <c r="K191" s="74"/>
    </row>
    <row r="192" customFormat="false" ht="14.25" hidden="false" customHeight="false" outlineLevel="0" collapsed="false">
      <c r="A192" s="84"/>
      <c r="B192" s="73"/>
      <c r="C192" s="73"/>
      <c r="D192" s="73"/>
      <c r="E192" s="73"/>
      <c r="F192" s="73"/>
      <c r="G192" s="73"/>
      <c r="H192" s="73"/>
      <c r="I192" s="73"/>
      <c r="J192" s="73"/>
      <c r="K192" s="74"/>
    </row>
    <row r="193" customFormat="false" ht="14.25" hidden="false" customHeight="false" outlineLevel="0" collapsed="false">
      <c r="A193" s="84"/>
      <c r="B193" s="73"/>
      <c r="C193" s="73"/>
      <c r="D193" s="73"/>
      <c r="E193" s="73"/>
      <c r="F193" s="73"/>
      <c r="G193" s="73"/>
      <c r="H193" s="73"/>
      <c r="I193" s="73"/>
      <c r="J193" s="73"/>
      <c r="K193" s="74"/>
    </row>
    <row r="194" customFormat="false" ht="14.25" hidden="false" customHeight="false" outlineLevel="0" collapsed="false">
      <c r="A194" s="84"/>
      <c r="B194" s="73"/>
      <c r="C194" s="73"/>
      <c r="D194" s="73"/>
      <c r="E194" s="73"/>
      <c r="F194" s="73"/>
      <c r="G194" s="73"/>
      <c r="H194" s="73"/>
      <c r="I194" s="73"/>
      <c r="J194" s="73"/>
      <c r="K194" s="74"/>
    </row>
    <row r="195" customFormat="false" ht="14.25" hidden="false" customHeight="false" outlineLevel="0" collapsed="false">
      <c r="A195" s="84"/>
      <c r="B195" s="73"/>
      <c r="C195" s="73"/>
      <c r="D195" s="73"/>
      <c r="E195" s="73"/>
      <c r="F195" s="73"/>
      <c r="G195" s="73"/>
      <c r="H195" s="73"/>
      <c r="I195" s="73"/>
      <c r="J195" s="73"/>
      <c r="K195" s="74"/>
    </row>
    <row r="196" customFormat="false" ht="14.25" hidden="false" customHeight="false" outlineLevel="0" collapsed="false">
      <c r="A196" s="84"/>
      <c r="B196" s="73"/>
      <c r="C196" s="73"/>
      <c r="D196" s="73"/>
      <c r="E196" s="73"/>
      <c r="F196" s="73"/>
      <c r="G196" s="73"/>
      <c r="H196" s="73"/>
      <c r="I196" s="73"/>
      <c r="J196" s="73"/>
      <c r="K196" s="74"/>
    </row>
    <row r="197" customFormat="false" ht="14.25" hidden="false" customHeight="false" outlineLevel="0" collapsed="false">
      <c r="A197" s="84"/>
      <c r="B197" s="73"/>
      <c r="C197" s="73"/>
      <c r="D197" s="73"/>
      <c r="E197" s="73"/>
      <c r="F197" s="73"/>
      <c r="G197" s="73"/>
      <c r="H197" s="73"/>
      <c r="I197" s="73"/>
      <c r="J197" s="73"/>
      <c r="K197" s="74"/>
    </row>
    <row r="198" customFormat="false" ht="14.25" hidden="false" customHeight="false" outlineLevel="0" collapsed="false">
      <c r="A198" s="84"/>
      <c r="B198" s="73"/>
      <c r="C198" s="73"/>
      <c r="D198" s="73"/>
      <c r="E198" s="73"/>
      <c r="F198" s="73"/>
      <c r="G198" s="73"/>
      <c r="H198" s="73"/>
      <c r="I198" s="73"/>
      <c r="J198" s="73"/>
      <c r="K198" s="74"/>
    </row>
    <row r="199" customFormat="false" ht="14.25" hidden="false" customHeight="false" outlineLevel="0" collapsed="false">
      <c r="A199" s="84"/>
      <c r="B199" s="73"/>
      <c r="C199" s="73"/>
      <c r="D199" s="73"/>
      <c r="E199" s="73"/>
      <c r="F199" s="73"/>
      <c r="G199" s="73"/>
      <c r="H199" s="73"/>
      <c r="I199" s="73"/>
      <c r="J199" s="73"/>
      <c r="K199" s="74"/>
    </row>
    <row r="200" customFormat="false" ht="14.25" hidden="false" customHeight="false" outlineLevel="0" collapsed="false">
      <c r="A200" s="84"/>
      <c r="B200" s="73"/>
      <c r="C200" s="73"/>
      <c r="D200" s="73"/>
      <c r="E200" s="73"/>
      <c r="F200" s="73"/>
      <c r="G200" s="73"/>
      <c r="H200" s="73"/>
      <c r="I200" s="73"/>
      <c r="J200" s="73"/>
      <c r="K200" s="74"/>
    </row>
    <row r="201" customFormat="false" ht="14.25" hidden="false" customHeight="false" outlineLevel="0" collapsed="false">
      <c r="A201" s="84"/>
      <c r="B201" s="73"/>
      <c r="C201" s="73"/>
      <c r="D201" s="73"/>
      <c r="E201" s="73"/>
      <c r="F201" s="73"/>
      <c r="G201" s="73"/>
      <c r="H201" s="73"/>
      <c r="I201" s="73"/>
      <c r="J201" s="73"/>
      <c r="K201" s="74"/>
    </row>
    <row r="202" customFormat="false" ht="14.25" hidden="false" customHeight="false" outlineLevel="0" collapsed="false">
      <c r="A202" s="84"/>
      <c r="B202" s="73"/>
      <c r="C202" s="73"/>
      <c r="D202" s="73"/>
      <c r="E202" s="73"/>
      <c r="F202" s="73"/>
      <c r="G202" s="73"/>
      <c r="H202" s="73"/>
      <c r="I202" s="73"/>
      <c r="J202" s="73"/>
      <c r="K202" s="74"/>
    </row>
    <row r="203" customFormat="false" ht="14.25" hidden="false" customHeight="false" outlineLevel="0" collapsed="false">
      <c r="A203" s="84"/>
      <c r="B203" s="73"/>
      <c r="C203" s="73"/>
      <c r="D203" s="73"/>
      <c r="E203" s="73"/>
      <c r="F203" s="73"/>
      <c r="G203" s="73"/>
      <c r="H203" s="73"/>
      <c r="I203" s="73"/>
      <c r="J203" s="73"/>
      <c r="K203" s="74"/>
    </row>
    <row r="204" customFormat="false" ht="14.25" hidden="false" customHeight="false" outlineLevel="0" collapsed="false">
      <c r="A204" s="84"/>
      <c r="B204" s="73"/>
      <c r="C204" s="73"/>
      <c r="D204" s="73"/>
      <c r="E204" s="73"/>
      <c r="F204" s="73"/>
      <c r="G204" s="73"/>
      <c r="H204" s="73"/>
      <c r="I204" s="73"/>
      <c r="J204" s="73"/>
      <c r="K204" s="74"/>
    </row>
    <row r="205" customFormat="false" ht="14.25" hidden="false" customHeight="false" outlineLevel="0" collapsed="false">
      <c r="A205" s="84"/>
      <c r="B205" s="73"/>
      <c r="C205" s="73"/>
      <c r="D205" s="73"/>
      <c r="E205" s="73"/>
      <c r="F205" s="73"/>
      <c r="G205" s="73"/>
      <c r="H205" s="73"/>
      <c r="I205" s="73"/>
      <c r="J205" s="73"/>
      <c r="K205" s="74"/>
    </row>
    <row r="206" customFormat="false" ht="14.25" hidden="false" customHeight="false" outlineLevel="0" collapsed="false">
      <c r="A206" s="84"/>
      <c r="B206" s="73"/>
      <c r="C206" s="73"/>
      <c r="D206" s="73"/>
      <c r="E206" s="73"/>
      <c r="F206" s="73"/>
      <c r="G206" s="73"/>
      <c r="H206" s="73"/>
      <c r="I206" s="73"/>
      <c r="J206" s="73"/>
      <c r="K206" s="74"/>
    </row>
    <row r="207" customFormat="false" ht="14.25" hidden="false" customHeight="false" outlineLevel="0" collapsed="false">
      <c r="A207" s="84"/>
      <c r="B207" s="73"/>
      <c r="C207" s="73"/>
      <c r="D207" s="73"/>
      <c r="E207" s="73"/>
      <c r="F207" s="73"/>
      <c r="G207" s="73"/>
      <c r="H207" s="73"/>
      <c r="I207" s="73"/>
      <c r="J207" s="73"/>
      <c r="K207" s="74"/>
    </row>
    <row r="208" customFormat="false" ht="14.25" hidden="false" customHeight="false" outlineLevel="0" collapsed="false">
      <c r="A208" s="86"/>
      <c r="B208" s="70"/>
      <c r="C208" s="70"/>
      <c r="D208" s="70"/>
      <c r="E208" s="70"/>
      <c r="F208" s="70"/>
      <c r="G208" s="70"/>
      <c r="H208" s="70"/>
      <c r="I208" s="70"/>
      <c r="J208" s="70"/>
      <c r="K208" s="71"/>
    </row>
    <row r="209" customFormat="false" ht="14.25" hidden="false" customHeight="false" outlineLevel="0" collapsed="false">
      <c r="A209" s="84"/>
      <c r="B209" s="73"/>
      <c r="C209" s="73"/>
      <c r="D209" s="73"/>
      <c r="E209" s="73"/>
      <c r="F209" s="73"/>
      <c r="G209" s="73"/>
      <c r="H209" s="73"/>
      <c r="I209" s="73"/>
      <c r="J209" s="73"/>
      <c r="K209" s="74"/>
    </row>
    <row r="210" customFormat="false" ht="14.25" hidden="false" customHeight="false" outlineLevel="0" collapsed="false">
      <c r="A210" s="84"/>
      <c r="B210" s="73"/>
      <c r="C210" s="73"/>
      <c r="D210" s="73"/>
      <c r="E210" s="73"/>
      <c r="F210" s="73"/>
      <c r="G210" s="73"/>
      <c r="H210" s="73"/>
      <c r="I210" s="73"/>
      <c r="J210" s="73"/>
      <c r="K210" s="74"/>
    </row>
    <row r="211" customFormat="false" ht="14.25" hidden="false" customHeight="false" outlineLevel="0" collapsed="false">
      <c r="A211" s="84"/>
      <c r="B211" s="73"/>
      <c r="C211" s="73"/>
      <c r="D211" s="73"/>
      <c r="E211" s="73"/>
      <c r="F211" s="73"/>
      <c r="G211" s="73"/>
      <c r="H211" s="73"/>
      <c r="I211" s="73"/>
      <c r="J211" s="73"/>
      <c r="K211" s="74"/>
    </row>
    <row r="212" customFormat="false" ht="14.25" hidden="false" customHeight="false" outlineLevel="0" collapsed="false">
      <c r="A212" s="85"/>
      <c r="B212" s="80"/>
      <c r="C212" s="80"/>
      <c r="D212" s="80"/>
      <c r="E212" s="80"/>
      <c r="F212" s="80"/>
      <c r="G212" s="80"/>
      <c r="H212" s="80"/>
      <c r="I212" s="80"/>
      <c r="J212" s="80"/>
      <c r="K212" s="81"/>
    </row>
    <row r="213" customFormat="false" ht="14.25" hidden="false" customHeight="false" outlineLevel="0" collapsed="false">
      <c r="A213" s="84"/>
      <c r="B213" s="73"/>
      <c r="C213" s="73"/>
      <c r="D213" s="73"/>
      <c r="E213" s="73"/>
      <c r="F213" s="73"/>
      <c r="G213" s="73"/>
      <c r="H213" s="73"/>
      <c r="I213" s="73"/>
      <c r="J213" s="73"/>
      <c r="K213" s="74"/>
    </row>
    <row r="214" customFormat="false" ht="14.25" hidden="false" customHeight="false" outlineLevel="0" collapsed="false">
      <c r="A214" s="84"/>
      <c r="B214" s="73"/>
      <c r="C214" s="73"/>
      <c r="D214" s="73"/>
      <c r="E214" s="73"/>
      <c r="F214" s="73"/>
      <c r="G214" s="73"/>
      <c r="H214" s="73"/>
      <c r="I214" s="73"/>
      <c r="J214" s="73"/>
      <c r="K214" s="74"/>
    </row>
    <row r="215" customFormat="false" ht="14.25" hidden="false" customHeight="false" outlineLevel="0" collapsed="false">
      <c r="A215" s="84"/>
      <c r="B215" s="73"/>
      <c r="C215" s="73"/>
      <c r="D215" s="73"/>
      <c r="E215" s="73"/>
      <c r="F215" s="73"/>
      <c r="G215" s="73"/>
      <c r="H215" s="73"/>
      <c r="I215" s="73"/>
      <c r="J215" s="73"/>
      <c r="K215" s="74"/>
    </row>
    <row r="216" customFormat="false" ht="14.25" hidden="false" customHeight="false" outlineLevel="0" collapsed="false">
      <c r="A216" s="84"/>
      <c r="B216" s="73"/>
      <c r="C216" s="73"/>
      <c r="D216" s="73"/>
      <c r="E216" s="73"/>
      <c r="F216" s="73"/>
      <c r="G216" s="73"/>
      <c r="H216" s="73"/>
      <c r="I216" s="73"/>
      <c r="J216" s="73"/>
      <c r="K216" s="74"/>
    </row>
    <row r="217" customFormat="false" ht="14.25" hidden="false" customHeight="false" outlineLevel="0" collapsed="false">
      <c r="A217" s="86"/>
      <c r="B217" s="70"/>
      <c r="C217" s="70"/>
      <c r="D217" s="70"/>
      <c r="E217" s="70"/>
      <c r="F217" s="70"/>
      <c r="G217" s="70"/>
      <c r="H217" s="70"/>
      <c r="I217" s="70"/>
      <c r="J217" s="70"/>
      <c r="K217" s="71"/>
    </row>
    <row r="218" customFormat="false" ht="14.25" hidden="false" customHeight="false" outlineLevel="0" collapsed="false">
      <c r="A218" s="84"/>
      <c r="B218" s="73"/>
      <c r="C218" s="73"/>
      <c r="D218" s="73"/>
      <c r="E218" s="73"/>
      <c r="F218" s="73"/>
      <c r="G218" s="73"/>
      <c r="H218" s="73"/>
      <c r="I218" s="73"/>
      <c r="J218" s="73"/>
      <c r="K218" s="74"/>
    </row>
    <row r="219" customFormat="false" ht="14.25" hidden="false" customHeight="false" outlineLevel="0" collapsed="false">
      <c r="A219" s="84"/>
      <c r="B219" s="73"/>
      <c r="C219" s="73"/>
      <c r="D219" s="73"/>
      <c r="E219" s="73"/>
      <c r="F219" s="73"/>
      <c r="G219" s="73"/>
      <c r="H219" s="73"/>
      <c r="I219" s="73"/>
      <c r="J219" s="73"/>
      <c r="K219" s="74"/>
    </row>
    <row r="220" customFormat="false" ht="14.25" hidden="false" customHeight="false" outlineLevel="0" collapsed="false">
      <c r="A220" s="84"/>
      <c r="B220" s="73"/>
      <c r="C220" s="73"/>
      <c r="D220" s="73"/>
      <c r="E220" s="73"/>
      <c r="F220" s="73"/>
      <c r="G220" s="73"/>
      <c r="H220" s="73"/>
      <c r="I220" s="73"/>
      <c r="J220" s="73"/>
      <c r="K220" s="74"/>
    </row>
    <row r="221" customFormat="false" ht="14.25" hidden="false" customHeight="false" outlineLevel="0" collapsed="false">
      <c r="A221" s="85"/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customFormat="false" ht="14.25" hidden="false" customHeight="false" outlineLevel="0" collapsed="false">
      <c r="A222" s="84"/>
      <c r="B222" s="73"/>
      <c r="C222" s="73"/>
      <c r="D222" s="73"/>
      <c r="E222" s="73"/>
      <c r="F222" s="73"/>
      <c r="G222" s="73"/>
      <c r="H222" s="73"/>
      <c r="I222" s="73"/>
      <c r="J222" s="73"/>
      <c r="K222" s="74"/>
    </row>
    <row r="223" customFormat="false" ht="14.25" hidden="false" customHeight="false" outlineLevel="0" collapsed="false">
      <c r="A223" s="84"/>
      <c r="B223" s="73"/>
      <c r="C223" s="73"/>
      <c r="D223" s="73"/>
      <c r="E223" s="73"/>
      <c r="F223" s="73"/>
      <c r="G223" s="73"/>
      <c r="H223" s="73"/>
      <c r="I223" s="73"/>
      <c r="J223" s="73"/>
      <c r="K223" s="74"/>
    </row>
    <row r="224" customFormat="false" ht="14.25" hidden="false" customHeight="false" outlineLevel="0" collapsed="false">
      <c r="A224" s="84"/>
      <c r="B224" s="73"/>
      <c r="C224" s="73"/>
      <c r="D224" s="73"/>
      <c r="E224" s="73"/>
      <c r="F224" s="73"/>
      <c r="G224" s="73"/>
      <c r="H224" s="73"/>
      <c r="I224" s="73"/>
      <c r="J224" s="73"/>
      <c r="K224" s="74"/>
    </row>
    <row r="225" customFormat="false" ht="14.25" hidden="false" customHeight="false" outlineLevel="0" collapsed="false">
      <c r="A225" s="84"/>
      <c r="B225" s="73"/>
      <c r="C225" s="73"/>
      <c r="D225" s="73"/>
      <c r="E225" s="73"/>
      <c r="F225" s="73"/>
      <c r="G225" s="73"/>
      <c r="H225" s="73"/>
      <c r="I225" s="73"/>
      <c r="J225" s="73"/>
      <c r="K225" s="74"/>
    </row>
    <row r="226" customFormat="false" ht="14.25" hidden="false" customHeight="false" outlineLevel="0" collapsed="false">
      <c r="A226" s="84"/>
      <c r="B226" s="73"/>
      <c r="C226" s="73"/>
      <c r="D226" s="73"/>
      <c r="E226" s="73"/>
      <c r="F226" s="73"/>
      <c r="G226" s="73"/>
      <c r="H226" s="73"/>
      <c r="I226" s="73"/>
      <c r="J226" s="73"/>
      <c r="K226" s="74"/>
    </row>
    <row r="227" customFormat="false" ht="14.25" hidden="false" customHeight="false" outlineLevel="0" collapsed="false">
      <c r="A227" s="84"/>
      <c r="B227" s="73"/>
      <c r="C227" s="73"/>
      <c r="D227" s="73"/>
      <c r="E227" s="73"/>
      <c r="F227" s="73"/>
      <c r="G227" s="73"/>
      <c r="H227" s="73"/>
      <c r="I227" s="73"/>
      <c r="J227" s="73"/>
      <c r="K227" s="74"/>
    </row>
    <row r="228" customFormat="false" ht="14.25" hidden="false" customHeight="false" outlineLevel="0" collapsed="false">
      <c r="A228" s="84"/>
      <c r="B228" s="73"/>
      <c r="C228" s="73"/>
      <c r="D228" s="73"/>
      <c r="E228" s="73"/>
      <c r="F228" s="73"/>
      <c r="G228" s="73"/>
      <c r="H228" s="73"/>
      <c r="I228" s="73"/>
      <c r="J228" s="73"/>
      <c r="K228" s="74"/>
    </row>
    <row r="229" customFormat="false" ht="14.25" hidden="false" customHeight="false" outlineLevel="0" collapsed="false">
      <c r="A229" s="84"/>
      <c r="B229" s="73"/>
      <c r="C229" s="73"/>
      <c r="D229" s="73"/>
      <c r="E229" s="73"/>
      <c r="F229" s="73"/>
      <c r="G229" s="73"/>
      <c r="H229" s="73"/>
      <c r="I229" s="73"/>
      <c r="J229" s="73"/>
      <c r="K229" s="74"/>
    </row>
    <row r="230" customFormat="false" ht="14.25" hidden="false" customHeight="false" outlineLevel="0" collapsed="false">
      <c r="A230" s="84"/>
      <c r="B230" s="73"/>
      <c r="C230" s="73"/>
      <c r="D230" s="73"/>
      <c r="E230" s="73"/>
      <c r="F230" s="73"/>
      <c r="G230" s="73"/>
      <c r="H230" s="73"/>
      <c r="I230" s="73"/>
      <c r="J230" s="73"/>
      <c r="K230" s="74"/>
    </row>
    <row r="231" customFormat="false" ht="14.25" hidden="false" customHeight="false" outlineLevel="0" collapsed="false">
      <c r="A231" s="84"/>
      <c r="B231" s="73"/>
      <c r="C231" s="73"/>
      <c r="D231" s="73"/>
      <c r="E231" s="73"/>
      <c r="F231" s="73"/>
      <c r="G231" s="73"/>
      <c r="H231" s="73"/>
      <c r="I231" s="73"/>
      <c r="J231" s="73"/>
      <c r="K231" s="74"/>
    </row>
    <row r="232" customFormat="false" ht="14.25" hidden="false" customHeight="false" outlineLevel="0" collapsed="false">
      <c r="A232" s="84"/>
      <c r="B232" s="73"/>
      <c r="C232" s="73"/>
      <c r="D232" s="73"/>
      <c r="E232" s="73"/>
      <c r="F232" s="73"/>
      <c r="G232" s="73"/>
      <c r="H232" s="73"/>
      <c r="I232" s="73"/>
      <c r="J232" s="73"/>
      <c r="K232" s="74"/>
    </row>
    <row r="233" customFormat="false" ht="14.25" hidden="false" customHeight="false" outlineLevel="0" collapsed="false">
      <c r="A233" s="84"/>
      <c r="B233" s="73"/>
      <c r="C233" s="73"/>
      <c r="D233" s="73"/>
      <c r="E233" s="73"/>
      <c r="F233" s="73"/>
      <c r="G233" s="73"/>
      <c r="H233" s="73"/>
      <c r="I233" s="73"/>
      <c r="J233" s="73"/>
      <c r="K233" s="74"/>
    </row>
    <row r="234" customFormat="false" ht="14.25" hidden="false" customHeight="false" outlineLevel="0" collapsed="false">
      <c r="A234" s="84"/>
      <c r="B234" s="73"/>
      <c r="C234" s="73"/>
      <c r="D234" s="73"/>
      <c r="E234" s="73"/>
      <c r="F234" s="73"/>
      <c r="G234" s="73"/>
      <c r="H234" s="73"/>
      <c r="I234" s="73"/>
      <c r="J234" s="73"/>
      <c r="K234" s="74"/>
    </row>
    <row r="235" customFormat="false" ht="14.25" hidden="false" customHeight="false" outlineLevel="0" collapsed="false">
      <c r="A235" s="84"/>
      <c r="B235" s="73"/>
      <c r="C235" s="73"/>
      <c r="D235" s="73"/>
      <c r="E235" s="73"/>
      <c r="F235" s="73"/>
      <c r="G235" s="73"/>
      <c r="H235" s="73"/>
      <c r="I235" s="73"/>
      <c r="J235" s="73"/>
      <c r="K235" s="74"/>
    </row>
    <row r="236" customFormat="false" ht="14.25" hidden="false" customHeight="false" outlineLevel="0" collapsed="false">
      <c r="A236" s="84"/>
      <c r="B236" s="73"/>
      <c r="C236" s="73"/>
      <c r="D236" s="73"/>
      <c r="E236" s="73"/>
      <c r="F236" s="73"/>
      <c r="G236" s="73"/>
      <c r="H236" s="73"/>
      <c r="I236" s="73"/>
      <c r="J236" s="73"/>
      <c r="K236" s="74"/>
    </row>
    <row r="237" customFormat="false" ht="14.25" hidden="false" customHeight="false" outlineLevel="0" collapsed="false">
      <c r="A237" s="84"/>
      <c r="B237" s="73"/>
      <c r="C237" s="73"/>
      <c r="D237" s="73"/>
      <c r="E237" s="73"/>
      <c r="F237" s="73"/>
      <c r="G237" s="73"/>
      <c r="H237" s="73"/>
      <c r="I237" s="73"/>
      <c r="J237" s="73"/>
      <c r="K237" s="74"/>
    </row>
    <row r="238" customFormat="false" ht="14.25" hidden="false" customHeight="false" outlineLevel="0" collapsed="false">
      <c r="A238" s="84"/>
      <c r="B238" s="73"/>
      <c r="C238" s="73"/>
      <c r="D238" s="73"/>
      <c r="E238" s="73"/>
      <c r="F238" s="73"/>
      <c r="G238" s="73"/>
      <c r="H238" s="73"/>
      <c r="I238" s="73"/>
      <c r="J238" s="73"/>
      <c r="K238" s="74"/>
    </row>
    <row r="239" customFormat="false" ht="14.25" hidden="false" customHeight="false" outlineLevel="0" collapsed="false">
      <c r="A239" s="84"/>
      <c r="B239" s="73"/>
      <c r="C239" s="73"/>
      <c r="D239" s="73"/>
      <c r="E239" s="73"/>
      <c r="F239" s="73"/>
      <c r="G239" s="73"/>
      <c r="H239" s="73"/>
      <c r="I239" s="73"/>
      <c r="J239" s="73"/>
      <c r="K239" s="74"/>
    </row>
    <row r="240" customFormat="false" ht="14.25" hidden="false" customHeight="false" outlineLevel="0" collapsed="false">
      <c r="A240" s="84"/>
      <c r="B240" s="73"/>
      <c r="C240" s="73"/>
      <c r="D240" s="73"/>
      <c r="E240" s="73"/>
      <c r="F240" s="73"/>
      <c r="G240" s="73"/>
      <c r="H240" s="73"/>
      <c r="I240" s="73"/>
      <c r="J240" s="73"/>
      <c r="K240" s="74"/>
    </row>
    <row r="241" customFormat="false" ht="14.25" hidden="false" customHeight="false" outlineLevel="0" collapsed="false">
      <c r="A241" s="84"/>
      <c r="B241" s="73"/>
      <c r="C241" s="73"/>
      <c r="D241" s="73"/>
      <c r="E241" s="73"/>
      <c r="F241" s="73"/>
      <c r="G241" s="73"/>
      <c r="H241" s="73"/>
      <c r="I241" s="73"/>
      <c r="J241" s="73"/>
      <c r="K241" s="74"/>
    </row>
    <row r="242" customFormat="false" ht="14.25" hidden="false" customHeight="false" outlineLevel="0" collapsed="false">
      <c r="A242" s="84"/>
      <c r="B242" s="73"/>
      <c r="C242" s="73"/>
      <c r="D242" s="73"/>
      <c r="E242" s="73"/>
      <c r="F242" s="73"/>
      <c r="G242" s="73"/>
      <c r="H242" s="73"/>
      <c r="I242" s="73"/>
      <c r="J242" s="73"/>
      <c r="K242" s="74"/>
    </row>
    <row r="243" customFormat="false" ht="14.25" hidden="false" customHeight="false" outlineLevel="0" collapsed="false">
      <c r="A243" s="84"/>
      <c r="B243" s="73"/>
      <c r="C243" s="73"/>
      <c r="D243" s="73"/>
      <c r="E243" s="73"/>
      <c r="F243" s="73"/>
      <c r="G243" s="73"/>
      <c r="H243" s="73"/>
      <c r="I243" s="73"/>
      <c r="J243" s="73"/>
      <c r="K243" s="74"/>
    </row>
    <row r="244" customFormat="false" ht="14.25" hidden="false" customHeight="false" outlineLevel="0" collapsed="false">
      <c r="A244" s="84"/>
      <c r="B244" s="73"/>
      <c r="C244" s="73"/>
      <c r="D244" s="73"/>
      <c r="E244" s="73"/>
      <c r="F244" s="73"/>
      <c r="G244" s="73"/>
      <c r="H244" s="73"/>
      <c r="I244" s="73"/>
      <c r="J244" s="73"/>
      <c r="K244" s="74"/>
    </row>
    <row r="245" customFormat="false" ht="14.25" hidden="false" customHeight="false" outlineLevel="0" collapsed="false">
      <c r="A245" s="86"/>
      <c r="B245" s="70"/>
      <c r="C245" s="70"/>
      <c r="D245" s="70"/>
      <c r="E245" s="70"/>
      <c r="F245" s="70"/>
      <c r="G245" s="70"/>
      <c r="H245" s="70"/>
      <c r="I245" s="70"/>
      <c r="J245" s="70"/>
      <c r="K245" s="71"/>
    </row>
    <row r="246" customFormat="false" ht="14.25" hidden="false" customHeight="false" outlineLevel="0" collapsed="false">
      <c r="A246" s="84"/>
      <c r="B246" s="73"/>
      <c r="C246" s="73"/>
      <c r="D246" s="73"/>
      <c r="E246" s="73"/>
      <c r="F246" s="73"/>
      <c r="G246" s="73"/>
      <c r="H246" s="73"/>
      <c r="I246" s="73"/>
      <c r="J246" s="73"/>
      <c r="K246" s="74"/>
    </row>
    <row r="247" customFormat="false" ht="14.25" hidden="false" customHeight="false" outlineLevel="0" collapsed="false">
      <c r="A247" s="84"/>
      <c r="B247" s="73"/>
      <c r="C247" s="73"/>
      <c r="D247" s="73"/>
      <c r="E247" s="73"/>
      <c r="F247" s="73"/>
      <c r="G247" s="73"/>
      <c r="H247" s="73"/>
      <c r="I247" s="73"/>
      <c r="J247" s="73"/>
      <c r="K247" s="74"/>
    </row>
    <row r="248" customFormat="false" ht="14.25" hidden="false" customHeight="false" outlineLevel="0" collapsed="false">
      <c r="A248" s="84"/>
      <c r="B248" s="73"/>
      <c r="C248" s="73"/>
      <c r="D248" s="73"/>
      <c r="E248" s="73"/>
      <c r="F248" s="73"/>
      <c r="G248" s="73"/>
      <c r="H248" s="73"/>
      <c r="I248" s="73"/>
      <c r="J248" s="73"/>
      <c r="K248" s="74"/>
    </row>
    <row r="249" customFormat="false" ht="14.25" hidden="false" customHeight="false" outlineLevel="0" collapsed="false">
      <c r="A249" s="85"/>
      <c r="B249" s="80"/>
      <c r="C249" s="80"/>
      <c r="D249" s="80"/>
      <c r="E249" s="80"/>
      <c r="F249" s="80"/>
      <c r="G249" s="80"/>
      <c r="H249" s="80"/>
      <c r="I249" s="80"/>
      <c r="J249" s="80"/>
      <c r="K249" s="81"/>
    </row>
    <row r="250" customFormat="false" ht="14.25" hidden="false" customHeight="false" outlineLevel="0" collapsed="false">
      <c r="A250" s="84"/>
      <c r="B250" s="73"/>
      <c r="C250" s="73"/>
      <c r="D250" s="73"/>
      <c r="E250" s="73"/>
      <c r="F250" s="73"/>
      <c r="G250" s="73"/>
      <c r="H250" s="73"/>
      <c r="I250" s="73"/>
      <c r="J250" s="73"/>
      <c r="K250" s="74"/>
    </row>
    <row r="251" customFormat="false" ht="14.25" hidden="false" customHeight="false" outlineLevel="0" collapsed="false">
      <c r="A251" s="84"/>
      <c r="B251" s="73"/>
      <c r="C251" s="73"/>
      <c r="D251" s="73"/>
      <c r="E251" s="73"/>
      <c r="F251" s="73"/>
      <c r="G251" s="73"/>
      <c r="H251" s="73"/>
      <c r="I251" s="73"/>
      <c r="J251" s="73"/>
      <c r="K251" s="74"/>
    </row>
    <row r="252" customFormat="false" ht="14.25" hidden="false" customHeight="false" outlineLevel="0" collapsed="false">
      <c r="A252" s="84"/>
      <c r="B252" s="73"/>
      <c r="C252" s="73"/>
      <c r="D252" s="73"/>
      <c r="E252" s="73"/>
      <c r="F252" s="73"/>
      <c r="G252" s="73"/>
      <c r="H252" s="73"/>
      <c r="I252" s="73"/>
      <c r="J252" s="73"/>
      <c r="K252" s="74"/>
    </row>
    <row r="253" customFormat="false" ht="14.25" hidden="false" customHeight="false" outlineLevel="0" collapsed="false">
      <c r="A253" s="84"/>
      <c r="B253" s="73"/>
      <c r="C253" s="73"/>
      <c r="D253" s="73"/>
      <c r="E253" s="73"/>
      <c r="F253" s="73"/>
      <c r="G253" s="73"/>
      <c r="H253" s="73"/>
      <c r="I253" s="73"/>
      <c r="J253" s="73"/>
      <c r="K253" s="74"/>
    </row>
    <row r="254" customFormat="false" ht="14.25" hidden="false" customHeight="false" outlineLevel="0" collapsed="false">
      <c r="A254" s="86"/>
      <c r="B254" s="70"/>
      <c r="C254" s="70"/>
      <c r="D254" s="70"/>
      <c r="E254" s="70"/>
      <c r="F254" s="70"/>
      <c r="G254" s="70"/>
      <c r="H254" s="70"/>
      <c r="I254" s="70"/>
      <c r="J254" s="70"/>
      <c r="K254" s="71"/>
    </row>
    <row r="255" customFormat="false" ht="14.25" hidden="false" customHeight="false" outlineLevel="0" collapsed="false">
      <c r="A255" s="84"/>
      <c r="B255" s="73"/>
      <c r="C255" s="73"/>
      <c r="D255" s="73"/>
      <c r="E255" s="73"/>
      <c r="F255" s="73"/>
      <c r="G255" s="73"/>
      <c r="H255" s="73"/>
      <c r="I255" s="73"/>
      <c r="J255" s="73"/>
      <c r="K255" s="74"/>
    </row>
    <row r="256" customFormat="false" ht="14.25" hidden="false" customHeight="false" outlineLevel="0" collapsed="false">
      <c r="A256" s="84"/>
      <c r="B256" s="73"/>
      <c r="C256" s="73"/>
      <c r="D256" s="73"/>
      <c r="E256" s="73"/>
      <c r="F256" s="73"/>
      <c r="G256" s="73"/>
      <c r="H256" s="73"/>
      <c r="I256" s="73"/>
      <c r="J256" s="73"/>
      <c r="K256" s="74"/>
    </row>
    <row r="257" customFormat="false" ht="14.25" hidden="false" customHeight="false" outlineLevel="0" collapsed="false">
      <c r="A257" s="84"/>
      <c r="B257" s="73"/>
      <c r="C257" s="73"/>
      <c r="D257" s="73"/>
      <c r="E257" s="73"/>
      <c r="F257" s="73"/>
      <c r="G257" s="73"/>
      <c r="H257" s="73"/>
      <c r="I257" s="73"/>
      <c r="J257" s="73"/>
      <c r="K257" s="74"/>
    </row>
    <row r="258" customFormat="false" ht="14.25" hidden="false" customHeight="false" outlineLevel="0" collapsed="false">
      <c r="A258" s="85"/>
      <c r="B258" s="80"/>
      <c r="C258" s="80"/>
      <c r="D258" s="80"/>
      <c r="E258" s="80"/>
      <c r="F258" s="80"/>
      <c r="G258" s="80"/>
      <c r="H258" s="80"/>
      <c r="I258" s="80"/>
      <c r="J258" s="80"/>
      <c r="K258" s="81"/>
    </row>
    <row r="259" customFormat="false" ht="14.25" hidden="false" customHeight="false" outlineLevel="0" collapsed="false">
      <c r="A259" s="84"/>
      <c r="B259" s="73"/>
      <c r="C259" s="73"/>
      <c r="D259" s="73"/>
      <c r="E259" s="73"/>
      <c r="F259" s="73"/>
      <c r="G259" s="73"/>
      <c r="H259" s="73"/>
      <c r="I259" s="73"/>
      <c r="J259" s="73"/>
      <c r="K259" s="74"/>
    </row>
    <row r="260" customFormat="false" ht="14.25" hidden="false" customHeight="false" outlineLevel="0" collapsed="false">
      <c r="A260" s="84"/>
      <c r="B260" s="73"/>
      <c r="C260" s="73"/>
      <c r="D260" s="73"/>
      <c r="E260" s="73"/>
      <c r="F260" s="73"/>
      <c r="G260" s="73"/>
      <c r="H260" s="73"/>
      <c r="I260" s="73"/>
      <c r="J260" s="73"/>
      <c r="K260" s="74"/>
    </row>
    <row r="261" customFormat="false" ht="14.25" hidden="false" customHeight="false" outlineLevel="0" collapsed="false">
      <c r="A261" s="84"/>
      <c r="B261" s="73"/>
      <c r="C261" s="73"/>
      <c r="D261" s="73"/>
      <c r="E261" s="73"/>
      <c r="F261" s="73"/>
      <c r="G261" s="73"/>
      <c r="H261" s="73"/>
      <c r="I261" s="73"/>
      <c r="J261" s="73"/>
      <c r="K261" s="74"/>
    </row>
    <row r="262" customFormat="false" ht="14.25" hidden="false" customHeight="false" outlineLevel="0" collapsed="false">
      <c r="A262" s="84"/>
      <c r="B262" s="73"/>
      <c r="C262" s="73"/>
      <c r="D262" s="73"/>
      <c r="E262" s="73"/>
      <c r="F262" s="73"/>
      <c r="G262" s="73"/>
      <c r="H262" s="73"/>
      <c r="I262" s="73"/>
      <c r="J262" s="73"/>
      <c r="K262" s="74"/>
    </row>
    <row r="263" customFormat="false" ht="14.25" hidden="false" customHeight="false" outlineLevel="0" collapsed="false">
      <c r="A263" s="84"/>
      <c r="B263" s="73"/>
      <c r="C263" s="73"/>
      <c r="D263" s="73"/>
      <c r="E263" s="73"/>
      <c r="F263" s="73"/>
      <c r="G263" s="73"/>
      <c r="H263" s="73"/>
      <c r="I263" s="73"/>
      <c r="J263" s="73"/>
      <c r="K263" s="74"/>
    </row>
    <row r="264" customFormat="false" ht="14.25" hidden="false" customHeight="false" outlineLevel="0" collapsed="false">
      <c r="A264" s="84"/>
      <c r="B264" s="73"/>
      <c r="C264" s="73"/>
      <c r="D264" s="73"/>
      <c r="E264" s="73"/>
      <c r="F264" s="73"/>
      <c r="G264" s="73"/>
      <c r="H264" s="73"/>
      <c r="I264" s="73"/>
      <c r="J264" s="73"/>
      <c r="K264" s="74"/>
    </row>
    <row r="265" customFormat="false" ht="14.25" hidden="false" customHeight="false" outlineLevel="0" collapsed="false">
      <c r="A265" s="84"/>
      <c r="B265" s="73"/>
      <c r="C265" s="73"/>
      <c r="D265" s="73"/>
      <c r="E265" s="73"/>
      <c r="F265" s="73"/>
      <c r="G265" s="73"/>
      <c r="H265" s="73"/>
      <c r="I265" s="73"/>
      <c r="J265" s="73"/>
      <c r="K265" s="74"/>
    </row>
    <row r="266" customFormat="false" ht="14.25" hidden="false" customHeight="false" outlineLevel="0" collapsed="false">
      <c r="A266" s="84"/>
      <c r="B266" s="73"/>
      <c r="C266" s="73"/>
      <c r="D266" s="73"/>
      <c r="E266" s="73"/>
      <c r="F266" s="73"/>
      <c r="G266" s="73"/>
      <c r="H266" s="73"/>
      <c r="I266" s="73"/>
      <c r="J266" s="73"/>
      <c r="K266" s="74"/>
    </row>
    <row r="267" customFormat="false" ht="14.25" hidden="false" customHeight="false" outlineLevel="0" collapsed="false">
      <c r="A267" s="84"/>
      <c r="B267" s="73"/>
      <c r="C267" s="73"/>
      <c r="D267" s="73"/>
      <c r="E267" s="73"/>
      <c r="F267" s="73"/>
      <c r="G267" s="73"/>
      <c r="H267" s="73"/>
      <c r="I267" s="73"/>
      <c r="J267" s="73"/>
      <c r="K267" s="74"/>
    </row>
    <row r="268" customFormat="false" ht="14.25" hidden="false" customHeight="false" outlineLevel="0" collapsed="false">
      <c r="A268" s="84"/>
      <c r="B268" s="73"/>
      <c r="C268" s="73"/>
      <c r="D268" s="73"/>
      <c r="E268" s="73"/>
      <c r="F268" s="73"/>
      <c r="G268" s="73"/>
      <c r="H268" s="73"/>
      <c r="I268" s="73"/>
      <c r="J268" s="73"/>
      <c r="K268" s="74"/>
    </row>
    <row r="269" customFormat="false" ht="14.25" hidden="false" customHeight="false" outlineLevel="0" collapsed="false">
      <c r="A269" s="84"/>
      <c r="B269" s="73"/>
      <c r="C269" s="73"/>
      <c r="D269" s="73"/>
      <c r="E269" s="73"/>
      <c r="F269" s="73"/>
      <c r="G269" s="73"/>
      <c r="H269" s="73"/>
      <c r="I269" s="73"/>
      <c r="J269" s="73"/>
      <c r="K269" s="74"/>
    </row>
    <row r="270" customFormat="false" ht="14.25" hidden="false" customHeight="false" outlineLevel="0" collapsed="false">
      <c r="A270" s="84"/>
      <c r="B270" s="73"/>
      <c r="C270" s="73"/>
      <c r="D270" s="73"/>
      <c r="E270" s="73"/>
      <c r="F270" s="73"/>
      <c r="G270" s="73"/>
      <c r="H270" s="73"/>
      <c r="I270" s="73"/>
      <c r="J270" s="73"/>
      <c r="K270" s="74"/>
    </row>
    <row r="271" customFormat="false" ht="14.25" hidden="false" customHeight="false" outlineLevel="0" collapsed="false">
      <c r="A271" s="84"/>
      <c r="B271" s="73"/>
      <c r="C271" s="73"/>
      <c r="D271" s="73"/>
      <c r="E271" s="73"/>
      <c r="F271" s="73"/>
      <c r="G271" s="73"/>
      <c r="H271" s="73"/>
      <c r="I271" s="73"/>
      <c r="J271" s="73"/>
      <c r="K271" s="74"/>
    </row>
    <row r="272" customFormat="false" ht="14.25" hidden="false" customHeight="false" outlineLevel="0" collapsed="false">
      <c r="A272" s="84"/>
      <c r="B272" s="73"/>
      <c r="C272" s="73"/>
      <c r="D272" s="73"/>
      <c r="E272" s="73"/>
      <c r="F272" s="73"/>
      <c r="G272" s="73"/>
      <c r="H272" s="73"/>
      <c r="I272" s="73"/>
      <c r="J272" s="73"/>
      <c r="K272" s="74"/>
    </row>
    <row r="273" customFormat="false" ht="14.25" hidden="false" customHeight="false" outlineLevel="0" collapsed="false">
      <c r="A273" s="84"/>
      <c r="B273" s="73"/>
      <c r="C273" s="73"/>
      <c r="D273" s="73"/>
      <c r="E273" s="73"/>
      <c r="F273" s="73"/>
      <c r="G273" s="73"/>
      <c r="H273" s="73"/>
      <c r="I273" s="73"/>
      <c r="J273" s="73"/>
      <c r="K273" s="74"/>
    </row>
    <row r="274" customFormat="false" ht="14.25" hidden="false" customHeight="false" outlineLevel="0" collapsed="false">
      <c r="A274" s="84"/>
      <c r="B274" s="73"/>
      <c r="C274" s="73"/>
      <c r="D274" s="73"/>
      <c r="E274" s="73"/>
      <c r="F274" s="73"/>
      <c r="G274" s="73"/>
      <c r="H274" s="73"/>
      <c r="I274" s="73"/>
      <c r="J274" s="73"/>
      <c r="K274" s="74"/>
    </row>
    <row r="275" customFormat="false" ht="14.25" hidden="false" customHeight="false" outlineLevel="0" collapsed="false">
      <c r="A275" s="84"/>
      <c r="B275" s="73"/>
      <c r="C275" s="73"/>
      <c r="D275" s="73"/>
      <c r="E275" s="73"/>
      <c r="F275" s="73"/>
      <c r="G275" s="73"/>
      <c r="H275" s="73"/>
      <c r="I275" s="73"/>
      <c r="J275" s="73"/>
      <c r="K275" s="74"/>
    </row>
    <row r="276" customFormat="false" ht="14.25" hidden="false" customHeight="false" outlineLevel="0" collapsed="false">
      <c r="A276" s="84"/>
      <c r="B276" s="73"/>
      <c r="C276" s="73"/>
      <c r="D276" s="73"/>
      <c r="E276" s="73"/>
      <c r="F276" s="73"/>
      <c r="G276" s="73"/>
      <c r="H276" s="73"/>
      <c r="I276" s="73"/>
      <c r="J276" s="73"/>
      <c r="K276" s="74"/>
    </row>
    <row r="277" customFormat="false" ht="14.25" hidden="false" customHeight="false" outlineLevel="0" collapsed="false">
      <c r="A277" s="84"/>
      <c r="B277" s="73"/>
      <c r="C277" s="73"/>
      <c r="D277" s="73"/>
      <c r="E277" s="73"/>
      <c r="F277" s="73"/>
      <c r="G277" s="73"/>
      <c r="H277" s="73"/>
      <c r="I277" s="73"/>
      <c r="J277" s="73"/>
      <c r="K277" s="74"/>
    </row>
    <row r="278" customFormat="false" ht="14.25" hidden="false" customHeight="false" outlineLevel="0" collapsed="false">
      <c r="A278" s="84"/>
      <c r="B278" s="73"/>
      <c r="C278" s="73"/>
      <c r="D278" s="73"/>
      <c r="E278" s="73"/>
      <c r="F278" s="73"/>
      <c r="G278" s="73"/>
      <c r="H278" s="73"/>
      <c r="I278" s="73"/>
      <c r="J278" s="73"/>
      <c r="K278" s="74"/>
    </row>
    <row r="279" customFormat="false" ht="14.25" hidden="false" customHeight="false" outlineLevel="0" collapsed="false">
      <c r="A279" s="84"/>
      <c r="B279" s="73"/>
      <c r="C279" s="73"/>
      <c r="D279" s="73"/>
      <c r="E279" s="73"/>
      <c r="F279" s="73"/>
      <c r="G279" s="73"/>
      <c r="H279" s="73"/>
      <c r="I279" s="73"/>
      <c r="J279" s="73"/>
      <c r="K279" s="74"/>
    </row>
    <row r="280" customFormat="false" ht="14.25" hidden="false" customHeight="false" outlineLevel="0" collapsed="false">
      <c r="A280" s="84"/>
      <c r="B280" s="73"/>
      <c r="C280" s="73"/>
      <c r="D280" s="73"/>
      <c r="E280" s="73"/>
      <c r="F280" s="73"/>
      <c r="G280" s="73"/>
      <c r="H280" s="73"/>
      <c r="I280" s="73"/>
      <c r="J280" s="73"/>
      <c r="K280" s="74"/>
    </row>
    <row r="281" customFormat="false" ht="14.25" hidden="false" customHeight="false" outlineLevel="0" collapsed="false">
      <c r="A281" s="84"/>
      <c r="B281" s="73"/>
      <c r="C281" s="73"/>
      <c r="D281" s="73"/>
      <c r="E281" s="73"/>
      <c r="F281" s="73"/>
      <c r="G281" s="73"/>
      <c r="H281" s="73"/>
      <c r="I281" s="73"/>
      <c r="J281" s="73"/>
      <c r="K281" s="74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2" activeCellId="1" sqref="D4:D5 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55" width="18.73"/>
    <col collapsed="false" customWidth="true" hidden="false" outlineLevel="0" max="3" min="2" style="55" width="12.45"/>
    <col collapsed="false" customWidth="true" hidden="false" outlineLevel="0" max="4" min="4" style="55" width="20.18"/>
    <col collapsed="false" customWidth="true" hidden="false" outlineLevel="0" max="5" min="5" style="55" width="22.27"/>
    <col collapsed="false" customWidth="true" hidden="false" outlineLevel="0" max="6" min="6" style="55" width="20.18"/>
    <col collapsed="false" customWidth="true" hidden="false" outlineLevel="0" max="7" min="7" style="55" width="19.18"/>
    <col collapsed="false" customWidth="true" hidden="false" outlineLevel="0" max="8" min="8" style="55" width="18.18"/>
    <col collapsed="false" customWidth="true" hidden="false" outlineLevel="0" max="9" min="9" style="55" width="22.73"/>
    <col collapsed="false" customWidth="true" hidden="false" outlineLevel="0" max="10" min="10" style="55" width="18.18"/>
    <col collapsed="false" customWidth="true" hidden="false" outlineLevel="0" max="11" min="11" style="55" width="25.54"/>
    <col collapsed="false" customWidth="true" hidden="false" outlineLevel="0" max="13" min="13" style="55" width="14.27"/>
  </cols>
  <sheetData>
    <row r="1" customFormat="false" ht="14.25" hidden="false" customHeight="false" outlineLevel="0" collapsed="false">
      <c r="A1" s="69"/>
      <c r="B1" s="69"/>
      <c r="C1" s="69"/>
      <c r="D1" s="69"/>
    </row>
    <row r="2" s="1" customFormat="true" ht="45.75" hidden="false" customHeight="true" outlineLevel="0" collapsed="false">
      <c r="A2" s="3" t="s">
        <v>0</v>
      </c>
      <c r="B2" s="58" t="s">
        <v>1</v>
      </c>
      <c r="C2" s="58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6" t="s">
        <v>12</v>
      </c>
    </row>
    <row r="3" customFormat="false" ht="15.65" hidden="false" customHeight="false" outlineLevel="0" collapsed="false">
      <c r="A3" s="89" t="s">
        <v>190</v>
      </c>
      <c r="B3" s="73" t="n">
        <v>2</v>
      </c>
      <c r="C3" s="89" t="s">
        <v>191</v>
      </c>
      <c r="D3" s="73"/>
      <c r="E3" s="73"/>
      <c r="F3" s="73"/>
      <c r="G3" s="73"/>
      <c r="H3" s="73"/>
      <c r="I3" s="73"/>
      <c r="J3" s="73"/>
      <c r="K3" s="73"/>
      <c r="M3" s="72" t="s">
        <v>17</v>
      </c>
    </row>
    <row r="4" customFormat="false" ht="15.65" hidden="false" customHeight="false" outlineLevel="0" collapsed="false">
      <c r="A4" s="89" t="s">
        <v>192</v>
      </c>
      <c r="B4" s="73" t="n">
        <v>2</v>
      </c>
      <c r="C4" s="89" t="s">
        <v>135</v>
      </c>
      <c r="D4" s="73"/>
      <c r="E4" s="73"/>
      <c r="F4" s="73"/>
      <c r="G4" s="73"/>
      <c r="H4" s="73"/>
      <c r="I4" s="73"/>
      <c r="J4" s="73"/>
      <c r="K4" s="73"/>
      <c r="M4" s="75" t="s">
        <v>21</v>
      </c>
      <c r="N4" s="76" t="n">
        <f aca="false">SUM(טבלה1345[כמות מוזמנים])</f>
        <v>33</v>
      </c>
    </row>
    <row r="5" customFormat="false" ht="15.65" hidden="false" customHeight="false" outlineLevel="0" collapsed="false">
      <c r="A5" s="89" t="s">
        <v>193</v>
      </c>
      <c r="B5" s="73" t="n">
        <v>2</v>
      </c>
      <c r="C5" s="89" t="s">
        <v>20</v>
      </c>
      <c r="D5" s="73"/>
      <c r="E5" s="73"/>
      <c r="F5" s="73"/>
      <c r="G5" s="73"/>
      <c r="H5" s="73"/>
      <c r="I5" s="73"/>
      <c r="J5" s="73"/>
      <c r="K5" s="73"/>
      <c r="M5" s="77" t="s">
        <v>25</v>
      </c>
      <c r="N5" s="78" t="n">
        <f aca="false">SUMIF(טבלה1345[בטוחים-1, סימן שאלה - 2, מוזמנים אך לא -3],1,טבלה1345[כמות מוזמנים])</f>
        <v>0</v>
      </c>
    </row>
    <row r="6" customFormat="false" ht="14.25" hidden="false" customHeight="false" outlineLevel="0" collapsed="false">
      <c r="A6" s="89" t="s">
        <v>194</v>
      </c>
      <c r="B6" s="73" t="n">
        <v>2</v>
      </c>
      <c r="C6" s="89" t="s">
        <v>118</v>
      </c>
      <c r="D6" s="73"/>
      <c r="E6" s="73"/>
      <c r="F6" s="73"/>
      <c r="G6" s="73"/>
      <c r="H6" s="73"/>
      <c r="I6" s="73"/>
      <c r="J6" s="73"/>
      <c r="K6" s="73"/>
      <c r="M6" s="77" t="s">
        <v>28</v>
      </c>
      <c r="N6" s="79" t="n">
        <f aca="false">SUMIF(טבלה1345[בטוחים-1, סימן שאלה - 2, מוזמנים אך לא -3],2,טבלה1345[כמות מוזמנים])</f>
        <v>0</v>
      </c>
    </row>
    <row r="7" customFormat="false" ht="14.25" hidden="false" customHeight="false" outlineLevel="0" collapsed="false">
      <c r="A7" s="89" t="s">
        <v>195</v>
      </c>
      <c r="B7" s="73" t="n">
        <v>1</v>
      </c>
      <c r="C7" s="89" t="s">
        <v>196</v>
      </c>
      <c r="D7" s="73"/>
      <c r="E7" s="73"/>
      <c r="F7" s="73"/>
      <c r="G7" s="73"/>
      <c r="H7" s="73"/>
      <c r="I7" s="73"/>
      <c r="J7" s="73"/>
      <c r="K7" s="73"/>
      <c r="M7" s="82" t="s">
        <v>31</v>
      </c>
      <c r="N7" s="83" t="n">
        <f aca="false">SUM(טבלה1345[הזמנה(1-כן, 0-לא)])</f>
        <v>0</v>
      </c>
    </row>
    <row r="8" customFormat="false" ht="14.25" hidden="false" customHeight="false" outlineLevel="0" collapsed="false">
      <c r="A8" s="89" t="s">
        <v>197</v>
      </c>
      <c r="B8" s="73" t="n">
        <v>1</v>
      </c>
      <c r="C8" s="89" t="s">
        <v>198</v>
      </c>
      <c r="D8" s="73"/>
      <c r="E8" s="73"/>
      <c r="F8" s="73"/>
      <c r="G8" s="73"/>
      <c r="H8" s="73"/>
      <c r="I8" s="73"/>
      <c r="J8" s="73"/>
      <c r="K8" s="73"/>
    </row>
    <row r="9" customFormat="false" ht="14.25" hidden="false" customHeight="false" outlineLevel="0" collapsed="false">
      <c r="A9" s="89" t="s">
        <v>199</v>
      </c>
      <c r="B9" s="73" t="n">
        <v>1</v>
      </c>
      <c r="C9" s="89" t="s">
        <v>200</v>
      </c>
      <c r="D9" s="73"/>
      <c r="E9" s="73"/>
      <c r="F9" s="73"/>
      <c r="G9" s="73"/>
      <c r="H9" s="73"/>
      <c r="I9" s="73"/>
      <c r="J9" s="73"/>
      <c r="K9" s="73"/>
    </row>
    <row r="10" customFormat="false" ht="14.25" hidden="false" customHeight="false" outlineLevel="0" collapsed="false">
      <c r="A10" s="89" t="s">
        <v>201</v>
      </c>
      <c r="B10" s="73" t="n">
        <v>1</v>
      </c>
      <c r="C10" s="89" t="s">
        <v>202</v>
      </c>
      <c r="D10" s="73"/>
      <c r="E10" s="73"/>
      <c r="F10" s="73"/>
      <c r="G10" s="73"/>
      <c r="H10" s="73"/>
      <c r="I10" s="73"/>
      <c r="J10" s="73"/>
      <c r="K10" s="73"/>
    </row>
    <row r="11" customFormat="false" ht="14.25" hidden="false" customHeight="false" outlineLevel="0" collapsed="false">
      <c r="A11" s="89" t="s">
        <v>203</v>
      </c>
      <c r="B11" s="73" t="n">
        <v>1</v>
      </c>
      <c r="C11" s="89" t="s">
        <v>204</v>
      </c>
      <c r="D11" s="73"/>
      <c r="E11" s="73"/>
      <c r="F11" s="73"/>
      <c r="G11" s="73"/>
      <c r="H11" s="73"/>
      <c r="I11" s="73"/>
      <c r="J11" s="73"/>
      <c r="K11" s="73"/>
      <c r="M11" s="72" t="s">
        <v>40</v>
      </c>
    </row>
    <row r="12" customFormat="false" ht="15.65" hidden="false" customHeight="false" outlineLevel="0" collapsed="false">
      <c r="A12" s="89" t="s">
        <v>205</v>
      </c>
      <c r="B12" s="73" t="n">
        <v>1</v>
      </c>
      <c r="C12" s="89" t="s">
        <v>43</v>
      </c>
      <c r="D12" s="73"/>
      <c r="E12" s="73"/>
      <c r="F12" s="73"/>
      <c r="G12" s="73"/>
      <c r="H12" s="73"/>
      <c r="I12" s="73"/>
      <c r="J12" s="73"/>
      <c r="K12" s="73"/>
      <c r="M12" s="75" t="s">
        <v>44</v>
      </c>
      <c r="N12" s="76" t="n">
        <f aca="false">SUM(טבלה1345[כמות הגיעו בפועל (אחרי חתונה)])</f>
        <v>0</v>
      </c>
    </row>
    <row r="13" customFormat="false" ht="15.65" hidden="false" customHeight="false" outlineLevel="0" collapsed="false">
      <c r="A13" s="89" t="s">
        <v>206</v>
      </c>
      <c r="B13" s="73" t="n">
        <v>1</v>
      </c>
      <c r="C13" s="89" t="s">
        <v>20</v>
      </c>
      <c r="D13" s="73"/>
      <c r="E13" s="73"/>
      <c r="F13" s="73"/>
      <c r="G13" s="73"/>
      <c r="H13" s="73"/>
      <c r="I13" s="73"/>
      <c r="J13" s="73"/>
      <c r="K13" s="73"/>
      <c r="M13" s="82" t="s">
        <v>47</v>
      </c>
      <c r="N13" s="83" t="n">
        <f aca="false">SUM(טבלה1345[כסף])</f>
        <v>0</v>
      </c>
    </row>
    <row r="14" customFormat="false" ht="14.25" hidden="false" customHeight="false" outlineLevel="0" collapsed="false">
      <c r="A14" s="89" t="s">
        <v>207</v>
      </c>
      <c r="B14" s="73" t="n">
        <v>1</v>
      </c>
      <c r="C14" s="89" t="s">
        <v>208</v>
      </c>
      <c r="D14" s="73"/>
      <c r="E14" s="73"/>
      <c r="F14" s="73"/>
      <c r="G14" s="73"/>
      <c r="H14" s="73"/>
      <c r="I14" s="73"/>
      <c r="J14" s="73"/>
      <c r="K14" s="73"/>
    </row>
    <row r="15" customFormat="false" ht="14.25" hidden="false" customHeight="false" outlineLevel="0" collapsed="false">
      <c r="A15" s="89" t="s">
        <v>209</v>
      </c>
      <c r="B15" s="73" t="n">
        <v>1</v>
      </c>
      <c r="C15" s="89" t="s">
        <v>210</v>
      </c>
      <c r="D15" s="73"/>
      <c r="E15" s="73"/>
      <c r="F15" s="73"/>
      <c r="G15" s="73"/>
      <c r="H15" s="73"/>
      <c r="I15" s="73"/>
      <c r="J15" s="73"/>
      <c r="K15" s="73"/>
    </row>
    <row r="16" customFormat="false" ht="14.25" hidden="false" customHeight="false" outlineLevel="0" collapsed="false">
      <c r="A16" s="89" t="s">
        <v>211</v>
      </c>
      <c r="B16" s="73" t="n">
        <v>1</v>
      </c>
      <c r="C16" s="89" t="s">
        <v>212</v>
      </c>
      <c r="D16" s="73"/>
      <c r="E16" s="73"/>
      <c r="F16" s="73"/>
      <c r="G16" s="73"/>
      <c r="H16" s="73"/>
      <c r="I16" s="73"/>
      <c r="J16" s="73"/>
      <c r="K16" s="73"/>
    </row>
    <row r="17" customFormat="false" ht="14.25" hidden="false" customHeight="false" outlineLevel="0" collapsed="false">
      <c r="A17" s="89" t="s">
        <v>213</v>
      </c>
      <c r="B17" s="73" t="n">
        <v>1</v>
      </c>
      <c r="C17" s="89" t="s">
        <v>20</v>
      </c>
      <c r="D17" s="73"/>
      <c r="E17" s="73"/>
      <c r="F17" s="73"/>
      <c r="G17" s="73"/>
      <c r="H17" s="73"/>
      <c r="I17" s="73"/>
      <c r="J17" s="73"/>
      <c r="K17" s="73"/>
    </row>
    <row r="18" customFormat="false" ht="14.25" hidden="false" customHeight="false" outlineLevel="0" collapsed="false">
      <c r="A18" s="89" t="s">
        <v>214</v>
      </c>
      <c r="B18" s="73" t="n">
        <v>1</v>
      </c>
      <c r="C18" s="89" t="s">
        <v>215</v>
      </c>
      <c r="D18" s="73"/>
      <c r="E18" s="73"/>
      <c r="F18" s="73"/>
      <c r="G18" s="73"/>
      <c r="H18" s="73"/>
      <c r="I18" s="73"/>
      <c r="J18" s="73"/>
      <c r="K18" s="73"/>
    </row>
    <row r="19" customFormat="false" ht="15.65" hidden="false" customHeight="false" outlineLevel="0" collapsed="false">
      <c r="A19" s="89" t="s">
        <v>216</v>
      </c>
      <c r="B19" s="73" t="n">
        <v>1</v>
      </c>
      <c r="C19" s="73" t="s">
        <v>217</v>
      </c>
      <c r="D19" s="73"/>
      <c r="E19" s="73"/>
      <c r="F19" s="73"/>
      <c r="G19" s="73"/>
      <c r="H19" s="73"/>
      <c r="I19" s="73"/>
      <c r="J19" s="73"/>
      <c r="K19" s="73"/>
    </row>
    <row r="20" customFormat="false" ht="15.65" hidden="false" customHeight="false" outlineLevel="0" collapsed="false">
      <c r="A20" s="89" t="s">
        <v>218</v>
      </c>
      <c r="B20" s="73" t="n">
        <v>1</v>
      </c>
      <c r="C20" s="89" t="s">
        <v>219</v>
      </c>
      <c r="D20" s="73"/>
      <c r="E20" s="73"/>
      <c r="F20" s="73"/>
      <c r="G20" s="73"/>
      <c r="H20" s="73"/>
      <c r="I20" s="73"/>
      <c r="J20" s="73"/>
      <c r="K20" s="73"/>
    </row>
    <row r="21" customFormat="false" ht="15.65" hidden="false" customHeight="false" outlineLevel="0" collapsed="false">
      <c r="A21" s="89" t="s">
        <v>220</v>
      </c>
      <c r="B21" s="73" t="n">
        <v>1</v>
      </c>
      <c r="C21" s="89" t="s">
        <v>221</v>
      </c>
      <c r="D21" s="73"/>
      <c r="E21" s="73"/>
      <c r="F21" s="73"/>
      <c r="G21" s="73"/>
      <c r="H21" s="73"/>
      <c r="I21" s="73"/>
      <c r="J21" s="73"/>
      <c r="K21" s="73"/>
    </row>
    <row r="22" customFormat="false" ht="14.25" hidden="false" customHeight="false" outlineLevel="0" collapsed="false">
      <c r="A22" s="89" t="s">
        <v>222</v>
      </c>
      <c r="B22" s="73" t="n">
        <v>1</v>
      </c>
      <c r="C22" s="89" t="s">
        <v>20</v>
      </c>
      <c r="D22" s="73"/>
      <c r="E22" s="73"/>
      <c r="F22" s="73"/>
      <c r="G22" s="73"/>
      <c r="H22" s="73"/>
      <c r="I22" s="73"/>
      <c r="J22" s="73"/>
      <c r="K22" s="73"/>
    </row>
    <row r="23" customFormat="false" ht="14.25" hidden="false" customHeight="false" outlineLevel="0" collapsed="false">
      <c r="A23" s="89" t="s">
        <v>223</v>
      </c>
      <c r="B23" s="73" t="n">
        <v>2</v>
      </c>
      <c r="C23" s="89" t="s">
        <v>112</v>
      </c>
      <c r="D23" s="73"/>
      <c r="E23" s="73"/>
      <c r="F23" s="73"/>
      <c r="G23" s="73"/>
      <c r="H23" s="73"/>
      <c r="I23" s="73"/>
      <c r="J23" s="73"/>
      <c r="K23" s="73"/>
    </row>
    <row r="24" customFormat="false" ht="14.25" hidden="false" customHeight="false" outlineLevel="0" collapsed="false">
      <c r="A24" s="89" t="s">
        <v>224</v>
      </c>
      <c r="B24" s="73" t="n">
        <v>1</v>
      </c>
      <c r="C24" s="89" t="s">
        <v>225</v>
      </c>
      <c r="D24" s="73"/>
      <c r="E24" s="73"/>
      <c r="F24" s="73"/>
      <c r="G24" s="73"/>
      <c r="H24" s="73"/>
      <c r="I24" s="73"/>
      <c r="J24" s="73"/>
      <c r="K24" s="73"/>
    </row>
    <row r="25" customFormat="false" ht="14.25" hidden="false" customHeight="false" outlineLevel="0" collapsed="false">
      <c r="A25" s="89" t="s">
        <v>226</v>
      </c>
      <c r="B25" s="73" t="n">
        <v>1</v>
      </c>
      <c r="C25" s="89" t="s">
        <v>20</v>
      </c>
      <c r="D25" s="73"/>
      <c r="E25" s="73"/>
      <c r="F25" s="73"/>
      <c r="G25" s="73"/>
      <c r="H25" s="73"/>
      <c r="I25" s="73"/>
      <c r="J25" s="73"/>
      <c r="K25" s="73"/>
    </row>
    <row r="26" customFormat="false" ht="14.25" hidden="false" customHeight="false" outlineLevel="0" collapsed="false">
      <c r="A26" s="89" t="s">
        <v>227</v>
      </c>
      <c r="B26" s="73" t="n">
        <v>1</v>
      </c>
      <c r="C26" s="89" t="s">
        <v>20</v>
      </c>
      <c r="D26" s="73"/>
      <c r="E26" s="73"/>
      <c r="F26" s="73"/>
      <c r="G26" s="73"/>
      <c r="H26" s="73"/>
      <c r="I26" s="73"/>
      <c r="J26" s="73"/>
      <c r="K26" s="73"/>
    </row>
    <row r="27" customFormat="false" ht="14.25" hidden="false" customHeight="false" outlineLevel="0" collapsed="false">
      <c r="A27" s="89" t="s">
        <v>228</v>
      </c>
      <c r="B27" s="73" t="n">
        <v>1</v>
      </c>
      <c r="C27" s="89" t="s">
        <v>20</v>
      </c>
      <c r="D27" s="73"/>
      <c r="E27" s="73"/>
      <c r="F27" s="73"/>
      <c r="G27" s="73"/>
      <c r="H27" s="73"/>
      <c r="I27" s="73"/>
      <c r="J27" s="73"/>
      <c r="K27" s="73"/>
    </row>
    <row r="28" customFormat="false" ht="14.25" hidden="false" customHeight="false" outlineLevel="0" collapsed="false">
      <c r="A28" s="89" t="s">
        <v>229</v>
      </c>
      <c r="B28" s="73" t="n">
        <v>2</v>
      </c>
      <c r="C28" s="89" t="s">
        <v>230</v>
      </c>
      <c r="D28" s="73"/>
      <c r="E28" s="73"/>
      <c r="F28" s="73"/>
      <c r="G28" s="73"/>
      <c r="H28" s="73"/>
      <c r="I28" s="73"/>
      <c r="J28" s="73"/>
      <c r="K28" s="73"/>
    </row>
    <row r="29" customFormat="false" ht="14.25" hidden="false" customHeight="false" outlineLevel="0" collapsed="false">
      <c r="A29" s="89" t="s">
        <v>231</v>
      </c>
      <c r="B29" s="73" t="n">
        <v>1</v>
      </c>
      <c r="C29" s="89" t="s">
        <v>20</v>
      </c>
      <c r="D29" s="73"/>
      <c r="E29" s="73"/>
      <c r="F29" s="73"/>
      <c r="G29" s="73"/>
      <c r="H29" s="73"/>
      <c r="I29" s="73"/>
      <c r="J29" s="73"/>
      <c r="K29" s="73"/>
    </row>
    <row r="30" customFormat="false" ht="14.25" hidden="false" customHeight="false" outlineLevel="0" collapsed="false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</row>
    <row r="31" customFormat="false" ht="14.25" hidden="false" customHeight="false" outlineLevel="0" collapsed="false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</row>
    <row r="32" customFormat="false" ht="14.25" hidden="false" customHeight="false" outlineLevel="0" collapsed="false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</row>
    <row r="33" customFormat="false" ht="14.25" hidden="false" customHeight="false" outlineLevel="0" collapsed="false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</row>
    <row r="34" customFormat="false" ht="14.25" hidden="false" customHeight="false" outlineLevel="0" collapsed="false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</row>
    <row r="35" customFormat="false" ht="14.25" hidden="false" customHeight="false" outlineLevel="0" collapsed="false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</row>
    <row r="36" customFormat="false" ht="14.25" hidden="false" customHeight="false" outlineLevel="0" collapsed="false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</row>
    <row r="37" customFormat="false" ht="14.25" hidden="false" customHeight="false" outlineLevel="0" collapsed="false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</row>
    <row r="38" customFormat="false" ht="14.25" hidden="false" customHeight="false" outlineLevel="0" collapsed="false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</row>
    <row r="39" customFormat="false" ht="14.25" hidden="false" customHeight="false" outlineLevel="0" collapsed="false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</row>
    <row r="40" customFormat="false" ht="14.25" hidden="false" customHeight="false" outlineLevel="0" collapsed="false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</row>
    <row r="41" customFormat="false" ht="14.25" hidden="false" customHeight="false" outlineLevel="0" collapsed="false">
      <c r="A41" s="90"/>
      <c r="B41" s="87"/>
      <c r="C41" s="87"/>
      <c r="D41" s="87"/>
      <c r="E41" s="87"/>
      <c r="F41" s="87"/>
      <c r="G41" s="87"/>
      <c r="H41" s="87"/>
      <c r="I41" s="87"/>
      <c r="J41" s="87"/>
      <c r="K41" s="91"/>
    </row>
    <row r="42" customFormat="false" ht="14.25" hidden="false" customHeight="false" outlineLevel="0" collapsed="false">
      <c r="A42" s="84"/>
      <c r="B42" s="73"/>
      <c r="C42" s="73"/>
      <c r="D42" s="73"/>
      <c r="E42" s="73"/>
      <c r="F42" s="73"/>
      <c r="G42" s="73"/>
      <c r="H42" s="73"/>
      <c r="I42" s="73"/>
      <c r="J42" s="73"/>
      <c r="K42" s="74"/>
    </row>
    <row r="43" customFormat="false" ht="14.25" hidden="false" customHeight="false" outlineLevel="0" collapsed="false">
      <c r="A43" s="85"/>
      <c r="B43" s="80"/>
      <c r="C43" s="80"/>
      <c r="D43" s="80"/>
      <c r="E43" s="80"/>
      <c r="F43" s="80"/>
      <c r="G43" s="80"/>
      <c r="H43" s="80"/>
      <c r="I43" s="80"/>
      <c r="J43" s="80"/>
      <c r="K43" s="81"/>
    </row>
    <row r="44" customFormat="false" ht="14.25" hidden="false" customHeight="false" outlineLevel="0" collapsed="false">
      <c r="A44" s="84"/>
      <c r="B44" s="73"/>
      <c r="C44" s="73"/>
      <c r="D44" s="73"/>
      <c r="E44" s="73"/>
      <c r="F44" s="73"/>
      <c r="G44" s="73"/>
      <c r="H44" s="73"/>
      <c r="I44" s="73"/>
      <c r="J44" s="73"/>
      <c r="K44" s="74"/>
    </row>
    <row r="45" customFormat="false" ht="14.25" hidden="false" customHeight="false" outlineLevel="0" collapsed="false">
      <c r="A45" s="84"/>
      <c r="B45" s="73"/>
      <c r="C45" s="73"/>
      <c r="D45" s="73"/>
      <c r="E45" s="73"/>
      <c r="F45" s="73"/>
      <c r="G45" s="73"/>
      <c r="H45" s="73"/>
      <c r="I45" s="73"/>
      <c r="J45" s="73"/>
      <c r="K45" s="74"/>
    </row>
    <row r="46" customFormat="false" ht="14.25" hidden="false" customHeight="false" outlineLevel="0" collapsed="false">
      <c r="A46" s="84"/>
      <c r="B46" s="73"/>
      <c r="C46" s="73"/>
      <c r="D46" s="73"/>
      <c r="E46" s="73"/>
      <c r="F46" s="73"/>
      <c r="G46" s="73"/>
      <c r="H46" s="73"/>
      <c r="I46" s="73"/>
      <c r="J46" s="73"/>
      <c r="K46" s="74"/>
    </row>
    <row r="47" customFormat="false" ht="14.25" hidden="false" customHeight="false" outlineLevel="0" collapsed="false">
      <c r="A47" s="84"/>
      <c r="B47" s="73"/>
      <c r="C47" s="73"/>
      <c r="D47" s="73"/>
      <c r="E47" s="73"/>
      <c r="F47" s="73"/>
      <c r="G47" s="73"/>
      <c r="H47" s="73"/>
      <c r="I47" s="73"/>
      <c r="J47" s="73"/>
      <c r="K47" s="74"/>
    </row>
    <row r="48" customFormat="false" ht="14.25" hidden="false" customHeight="false" outlineLevel="0" collapsed="false">
      <c r="A48" s="84"/>
      <c r="B48" s="73"/>
      <c r="C48" s="73"/>
      <c r="D48" s="73"/>
      <c r="E48" s="73"/>
      <c r="F48" s="73"/>
      <c r="G48" s="73"/>
      <c r="H48" s="73"/>
      <c r="I48" s="73"/>
      <c r="J48" s="73"/>
      <c r="K48" s="74"/>
    </row>
    <row r="49" customFormat="false" ht="14.25" hidden="false" customHeight="false" outlineLevel="0" collapsed="false">
      <c r="A49" s="84"/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customFormat="false" ht="14.25" hidden="false" customHeight="false" outlineLevel="0" collapsed="false">
      <c r="A50" s="84"/>
      <c r="B50" s="73"/>
      <c r="C50" s="73"/>
      <c r="D50" s="73"/>
      <c r="E50" s="73"/>
      <c r="F50" s="73"/>
      <c r="G50" s="73"/>
      <c r="H50" s="73"/>
      <c r="I50" s="73"/>
      <c r="J50" s="73"/>
      <c r="K50" s="74"/>
    </row>
    <row r="51" customFormat="false" ht="14.25" hidden="false" customHeight="false" outlineLevel="0" collapsed="false">
      <c r="A51" s="84"/>
      <c r="B51" s="73"/>
      <c r="C51" s="73"/>
      <c r="D51" s="73"/>
      <c r="E51" s="73"/>
      <c r="F51" s="73"/>
      <c r="G51" s="73"/>
      <c r="H51" s="73"/>
      <c r="I51" s="73"/>
      <c r="J51" s="73"/>
      <c r="K51" s="74"/>
    </row>
    <row r="52" customFormat="false" ht="14.25" hidden="false" customHeight="false" outlineLevel="0" collapsed="false">
      <c r="A52" s="84"/>
      <c r="B52" s="73"/>
      <c r="C52" s="73"/>
      <c r="D52" s="73"/>
      <c r="E52" s="73"/>
      <c r="F52" s="73"/>
      <c r="G52" s="73"/>
      <c r="H52" s="73"/>
      <c r="I52" s="73"/>
      <c r="J52" s="73"/>
      <c r="K52" s="74"/>
    </row>
    <row r="53" customFormat="false" ht="14.25" hidden="false" customHeight="false" outlineLevel="0" collapsed="false">
      <c r="A53" s="84"/>
      <c r="B53" s="73"/>
      <c r="C53" s="73"/>
      <c r="D53" s="73"/>
      <c r="E53" s="73"/>
      <c r="F53" s="73"/>
      <c r="G53" s="73"/>
      <c r="H53" s="73"/>
      <c r="I53" s="73"/>
      <c r="J53" s="73"/>
      <c r="K53" s="74"/>
    </row>
    <row r="54" customFormat="false" ht="14.25" hidden="false" customHeight="false" outlineLevel="0" collapsed="false">
      <c r="A54" s="84"/>
      <c r="B54" s="73"/>
      <c r="C54" s="73"/>
      <c r="D54" s="73"/>
      <c r="E54" s="73"/>
      <c r="F54" s="73"/>
      <c r="G54" s="73"/>
      <c r="H54" s="73"/>
      <c r="I54" s="73"/>
      <c r="J54" s="73"/>
      <c r="K54" s="74"/>
    </row>
    <row r="55" customFormat="false" ht="14.25" hidden="false" customHeight="false" outlineLevel="0" collapsed="false">
      <c r="A55" s="84"/>
      <c r="B55" s="73"/>
      <c r="C55" s="73"/>
      <c r="D55" s="73"/>
      <c r="E55" s="73"/>
      <c r="F55" s="73"/>
      <c r="G55" s="73"/>
      <c r="H55" s="73"/>
      <c r="I55" s="73"/>
      <c r="J55" s="73"/>
      <c r="K55" s="74"/>
    </row>
    <row r="56" customFormat="false" ht="14.25" hidden="false" customHeight="false" outlineLevel="0" collapsed="false">
      <c r="A56" s="84"/>
      <c r="B56" s="73"/>
      <c r="C56" s="73"/>
      <c r="D56" s="73"/>
      <c r="E56" s="73"/>
      <c r="F56" s="73"/>
      <c r="G56" s="73"/>
      <c r="H56" s="73"/>
      <c r="I56" s="73"/>
      <c r="J56" s="73"/>
      <c r="K56" s="74"/>
    </row>
    <row r="57" customFormat="false" ht="14.25" hidden="false" customHeight="false" outlineLevel="0" collapsed="false">
      <c r="A57" s="84"/>
      <c r="B57" s="73"/>
      <c r="C57" s="73"/>
      <c r="D57" s="73"/>
      <c r="E57" s="73"/>
      <c r="F57" s="73"/>
      <c r="G57" s="73"/>
      <c r="H57" s="73"/>
      <c r="I57" s="73"/>
      <c r="J57" s="73"/>
      <c r="K57" s="74"/>
    </row>
    <row r="58" customFormat="false" ht="14.25" hidden="false" customHeight="false" outlineLevel="0" collapsed="false">
      <c r="A58" s="84"/>
      <c r="B58" s="73"/>
      <c r="C58" s="73"/>
      <c r="D58" s="73"/>
      <c r="E58" s="73"/>
      <c r="F58" s="73"/>
      <c r="G58" s="73"/>
      <c r="H58" s="73"/>
      <c r="I58" s="73"/>
      <c r="J58" s="73"/>
      <c r="K58" s="74"/>
    </row>
    <row r="59" customFormat="false" ht="14.25" hidden="false" customHeight="false" outlineLevel="0" collapsed="false">
      <c r="A59" s="84"/>
      <c r="B59" s="73"/>
      <c r="C59" s="73"/>
      <c r="D59" s="73"/>
      <c r="E59" s="73"/>
      <c r="F59" s="73"/>
      <c r="G59" s="73"/>
      <c r="H59" s="73"/>
      <c r="I59" s="73"/>
      <c r="J59" s="73"/>
      <c r="K59" s="74"/>
    </row>
    <row r="60" customFormat="false" ht="14.25" hidden="false" customHeight="false" outlineLevel="0" collapsed="false">
      <c r="A60" s="84"/>
      <c r="B60" s="73"/>
      <c r="C60" s="73"/>
      <c r="D60" s="73"/>
      <c r="E60" s="73"/>
      <c r="F60" s="73"/>
      <c r="G60" s="73"/>
      <c r="H60" s="73"/>
      <c r="I60" s="73"/>
      <c r="J60" s="73"/>
      <c r="K60" s="74"/>
    </row>
    <row r="61" customFormat="false" ht="14.25" hidden="false" customHeight="false" outlineLevel="0" collapsed="false">
      <c r="A61" s="84"/>
      <c r="B61" s="73"/>
      <c r="C61" s="73"/>
      <c r="D61" s="73"/>
      <c r="E61" s="73"/>
      <c r="F61" s="73"/>
      <c r="G61" s="73"/>
      <c r="H61" s="73"/>
      <c r="I61" s="73"/>
      <c r="J61" s="73"/>
      <c r="K61" s="74"/>
    </row>
    <row r="62" customFormat="false" ht="14.25" hidden="false" customHeight="false" outlineLevel="0" collapsed="false">
      <c r="A62" s="84"/>
      <c r="B62" s="73"/>
      <c r="C62" s="73"/>
      <c r="D62" s="73"/>
      <c r="E62" s="73"/>
      <c r="F62" s="73"/>
      <c r="G62" s="73"/>
      <c r="H62" s="73"/>
      <c r="I62" s="73"/>
      <c r="J62" s="73"/>
      <c r="K62" s="74"/>
    </row>
    <row r="63" customFormat="false" ht="14.25" hidden="false" customHeight="false" outlineLevel="0" collapsed="false">
      <c r="A63" s="84"/>
      <c r="B63" s="73"/>
      <c r="C63" s="73"/>
      <c r="D63" s="73"/>
      <c r="E63" s="73"/>
      <c r="F63" s="73"/>
      <c r="G63" s="73"/>
      <c r="H63" s="73"/>
      <c r="I63" s="73"/>
      <c r="J63" s="73"/>
      <c r="K63" s="74"/>
    </row>
    <row r="64" customFormat="false" ht="14.25" hidden="false" customHeight="false" outlineLevel="0" collapsed="false">
      <c r="A64" s="84"/>
      <c r="B64" s="73"/>
      <c r="C64" s="73"/>
      <c r="D64" s="73"/>
      <c r="E64" s="73"/>
      <c r="F64" s="73"/>
      <c r="G64" s="73"/>
      <c r="H64" s="73"/>
      <c r="I64" s="73"/>
      <c r="J64" s="73"/>
      <c r="K64" s="74"/>
    </row>
    <row r="65" customFormat="false" ht="14.25" hidden="false" customHeight="false" outlineLevel="0" collapsed="false">
      <c r="A65" s="86"/>
      <c r="B65" s="70"/>
      <c r="C65" s="70"/>
      <c r="D65" s="70"/>
      <c r="E65" s="70"/>
      <c r="F65" s="70"/>
      <c r="G65" s="70"/>
      <c r="H65" s="70"/>
      <c r="I65" s="70"/>
      <c r="J65" s="70"/>
      <c r="K65" s="71"/>
    </row>
    <row r="66" customFormat="false" ht="14.25" hidden="false" customHeight="false" outlineLevel="0" collapsed="false">
      <c r="A66" s="84"/>
      <c r="B66" s="73"/>
      <c r="C66" s="73"/>
      <c r="D66" s="73"/>
      <c r="E66" s="73"/>
      <c r="F66" s="73"/>
      <c r="G66" s="73"/>
      <c r="H66" s="73"/>
      <c r="I66" s="73"/>
      <c r="J66" s="73"/>
      <c r="K66" s="74"/>
    </row>
    <row r="67" customFormat="false" ht="14.25" hidden="false" customHeight="false" outlineLevel="0" collapsed="false">
      <c r="A67" s="85"/>
      <c r="B67" s="80"/>
      <c r="C67" s="80"/>
      <c r="D67" s="80"/>
      <c r="E67" s="80"/>
      <c r="F67" s="80"/>
      <c r="G67" s="80"/>
      <c r="H67" s="80"/>
      <c r="I67" s="80"/>
      <c r="J67" s="80"/>
      <c r="K67" s="81"/>
    </row>
    <row r="68" customFormat="false" ht="14.25" hidden="false" customHeight="false" outlineLevel="0" collapsed="false">
      <c r="A68" s="84"/>
      <c r="B68" s="73"/>
      <c r="C68" s="73"/>
      <c r="D68" s="73"/>
      <c r="E68" s="73"/>
      <c r="F68" s="73"/>
      <c r="G68" s="73"/>
      <c r="H68" s="73"/>
      <c r="I68" s="73"/>
      <c r="J68" s="73"/>
      <c r="K68" s="74"/>
    </row>
    <row r="69" customFormat="false" ht="14.25" hidden="false" customHeight="false" outlineLevel="0" collapsed="false">
      <c r="A69" s="84"/>
      <c r="B69" s="73"/>
      <c r="C69" s="73"/>
      <c r="D69" s="73"/>
      <c r="E69" s="73"/>
      <c r="F69" s="73"/>
      <c r="G69" s="73"/>
      <c r="H69" s="73"/>
      <c r="I69" s="73"/>
      <c r="J69" s="73"/>
      <c r="K69" s="74"/>
    </row>
    <row r="70" customFormat="false" ht="14.25" hidden="false" customHeight="false" outlineLevel="0" collapsed="false">
      <c r="A70" s="84"/>
      <c r="B70" s="73"/>
      <c r="C70" s="73"/>
      <c r="D70" s="73"/>
      <c r="E70" s="73"/>
      <c r="F70" s="73"/>
      <c r="G70" s="73"/>
      <c r="H70" s="73"/>
      <c r="I70" s="73"/>
      <c r="J70" s="73"/>
      <c r="K70" s="74"/>
    </row>
    <row r="71" customFormat="false" ht="14.25" hidden="false" customHeight="false" outlineLevel="0" collapsed="false">
      <c r="A71" s="84"/>
      <c r="B71" s="73"/>
      <c r="C71" s="73"/>
      <c r="D71" s="73"/>
      <c r="E71" s="73"/>
      <c r="F71" s="73"/>
      <c r="G71" s="73"/>
      <c r="H71" s="73"/>
      <c r="I71" s="73"/>
      <c r="J71" s="73"/>
      <c r="K71" s="74"/>
    </row>
    <row r="72" customFormat="false" ht="14.25" hidden="false" customHeight="false" outlineLevel="0" collapsed="false">
      <c r="A72" s="84"/>
      <c r="B72" s="73"/>
      <c r="C72" s="73"/>
      <c r="D72" s="73"/>
      <c r="E72" s="73"/>
      <c r="F72" s="73"/>
      <c r="G72" s="73"/>
      <c r="H72" s="73"/>
      <c r="I72" s="73"/>
      <c r="J72" s="73"/>
      <c r="K72" s="74"/>
    </row>
    <row r="73" customFormat="false" ht="14.25" hidden="false" customHeight="false" outlineLevel="0" collapsed="false">
      <c r="A73" s="85"/>
      <c r="B73" s="80"/>
      <c r="C73" s="80"/>
      <c r="D73" s="80"/>
      <c r="E73" s="80"/>
      <c r="F73" s="80"/>
      <c r="G73" s="80"/>
      <c r="H73" s="80"/>
      <c r="I73" s="80"/>
      <c r="J73" s="80"/>
      <c r="K73" s="81"/>
    </row>
    <row r="74" customFormat="false" ht="14.25" hidden="false" customHeight="false" outlineLevel="0" collapsed="false">
      <c r="A74" s="84"/>
      <c r="B74" s="73"/>
      <c r="C74" s="73"/>
      <c r="D74" s="73"/>
      <c r="E74" s="73"/>
      <c r="F74" s="73"/>
      <c r="G74" s="73"/>
      <c r="H74" s="73"/>
      <c r="I74" s="73"/>
      <c r="J74" s="73"/>
      <c r="K74" s="74"/>
    </row>
    <row r="75" customFormat="false" ht="14.25" hidden="false" customHeight="false" outlineLevel="0" collapsed="false">
      <c r="A75" s="84"/>
      <c r="B75" s="73"/>
      <c r="C75" s="73"/>
      <c r="D75" s="73"/>
      <c r="E75" s="73"/>
      <c r="F75" s="73"/>
      <c r="G75" s="73"/>
      <c r="H75" s="73"/>
      <c r="I75" s="73"/>
      <c r="J75" s="73"/>
      <c r="K75" s="74"/>
    </row>
    <row r="76" customFormat="false" ht="14.25" hidden="false" customHeight="false" outlineLevel="0" collapsed="false">
      <c r="A76" s="84"/>
      <c r="B76" s="73"/>
      <c r="C76" s="73"/>
      <c r="D76" s="73"/>
      <c r="E76" s="73"/>
      <c r="F76" s="73"/>
      <c r="G76" s="73"/>
      <c r="H76" s="73"/>
      <c r="I76" s="73"/>
      <c r="J76" s="73"/>
      <c r="K76" s="74"/>
    </row>
    <row r="77" customFormat="false" ht="14.25" hidden="false" customHeight="false" outlineLevel="0" collapsed="false">
      <c r="A77" s="84"/>
      <c r="B77" s="73"/>
      <c r="C77" s="73"/>
      <c r="D77" s="73"/>
      <c r="E77" s="73"/>
      <c r="F77" s="73"/>
      <c r="G77" s="73"/>
      <c r="H77" s="73"/>
      <c r="I77" s="73"/>
      <c r="J77" s="73"/>
      <c r="K77" s="74"/>
    </row>
    <row r="78" customFormat="false" ht="14.25" hidden="false" customHeight="false" outlineLevel="0" collapsed="false">
      <c r="A78" s="84"/>
      <c r="B78" s="73"/>
      <c r="C78" s="73"/>
      <c r="D78" s="73"/>
      <c r="E78" s="73"/>
      <c r="F78" s="73"/>
      <c r="G78" s="73"/>
      <c r="H78" s="73"/>
      <c r="I78" s="73"/>
      <c r="J78" s="73"/>
      <c r="K78" s="74"/>
    </row>
    <row r="79" customFormat="false" ht="14.25" hidden="false" customHeight="false" outlineLevel="0" collapsed="false">
      <c r="A79" s="84"/>
      <c r="B79" s="73"/>
      <c r="C79" s="73"/>
      <c r="D79" s="73"/>
      <c r="E79" s="73"/>
      <c r="F79" s="73"/>
      <c r="G79" s="73"/>
      <c r="H79" s="73"/>
      <c r="I79" s="73"/>
      <c r="J79" s="73"/>
      <c r="K79" s="74"/>
    </row>
    <row r="80" customFormat="false" ht="14.25" hidden="false" customHeight="false" outlineLevel="0" collapsed="false">
      <c r="A80" s="84"/>
      <c r="B80" s="73"/>
      <c r="C80" s="73"/>
      <c r="D80" s="73"/>
      <c r="E80" s="73"/>
      <c r="F80" s="73"/>
      <c r="G80" s="73"/>
      <c r="H80" s="73"/>
      <c r="I80" s="73"/>
      <c r="J80" s="73"/>
      <c r="K80" s="74"/>
    </row>
    <row r="81" customFormat="false" ht="14.25" hidden="false" customHeight="false" outlineLevel="0" collapsed="false">
      <c r="A81" s="84"/>
      <c r="B81" s="73"/>
      <c r="C81" s="73"/>
      <c r="D81" s="73"/>
      <c r="E81" s="73"/>
      <c r="F81" s="73"/>
      <c r="G81" s="73"/>
      <c r="H81" s="73"/>
      <c r="I81" s="73"/>
      <c r="J81" s="73"/>
      <c r="K81" s="74"/>
    </row>
    <row r="82" customFormat="false" ht="14.25" hidden="false" customHeight="false" outlineLevel="0" collapsed="false">
      <c r="A82" s="84"/>
      <c r="B82" s="73"/>
      <c r="C82" s="73"/>
      <c r="D82" s="73"/>
      <c r="E82" s="73"/>
      <c r="F82" s="73"/>
      <c r="G82" s="73"/>
      <c r="H82" s="73"/>
      <c r="I82" s="73"/>
      <c r="J82" s="73"/>
      <c r="K82" s="74"/>
    </row>
    <row r="83" customFormat="false" ht="14.25" hidden="false" customHeight="false" outlineLevel="0" collapsed="false">
      <c r="A83" s="84"/>
      <c r="B83" s="73"/>
      <c r="C83" s="73"/>
      <c r="D83" s="73"/>
      <c r="E83" s="73"/>
      <c r="F83" s="73"/>
      <c r="G83" s="73"/>
      <c r="H83" s="73"/>
      <c r="I83" s="73"/>
      <c r="J83" s="73"/>
      <c r="K83" s="74"/>
    </row>
    <row r="84" customFormat="false" ht="14.25" hidden="false" customHeight="false" outlineLevel="0" collapsed="false">
      <c r="A84" s="84"/>
      <c r="B84" s="73"/>
      <c r="C84" s="73"/>
      <c r="D84" s="73"/>
      <c r="E84" s="73"/>
      <c r="F84" s="73"/>
      <c r="G84" s="73"/>
      <c r="H84" s="73"/>
      <c r="I84" s="73"/>
      <c r="J84" s="73"/>
      <c r="K84" s="74"/>
    </row>
    <row r="85" customFormat="false" ht="14.25" hidden="false" customHeight="false" outlineLevel="0" collapsed="false">
      <c r="A85" s="84"/>
      <c r="B85" s="73"/>
      <c r="C85" s="73"/>
      <c r="D85" s="73"/>
      <c r="E85" s="73"/>
      <c r="F85" s="73"/>
      <c r="G85" s="73"/>
      <c r="H85" s="73"/>
      <c r="I85" s="73"/>
      <c r="J85" s="73"/>
      <c r="K85" s="74"/>
    </row>
    <row r="86" customFormat="false" ht="14.25" hidden="false" customHeight="false" outlineLevel="0" collapsed="false">
      <c r="A86" s="84"/>
      <c r="B86" s="73"/>
      <c r="C86" s="73"/>
      <c r="D86" s="73"/>
      <c r="E86" s="73"/>
      <c r="F86" s="73"/>
      <c r="G86" s="73"/>
      <c r="H86" s="73"/>
      <c r="I86" s="73"/>
      <c r="J86" s="73"/>
      <c r="K86" s="74"/>
    </row>
    <row r="87" customFormat="false" ht="14.25" hidden="false" customHeight="false" outlineLevel="0" collapsed="false">
      <c r="A87" s="84"/>
      <c r="B87" s="73"/>
      <c r="C87" s="73"/>
      <c r="D87" s="73"/>
      <c r="E87" s="73"/>
      <c r="F87" s="73"/>
      <c r="G87" s="73"/>
      <c r="H87" s="73"/>
      <c r="I87" s="73"/>
      <c r="J87" s="73"/>
      <c r="K87" s="74"/>
    </row>
    <row r="88" customFormat="false" ht="14.25" hidden="false" customHeight="false" outlineLevel="0" collapsed="false">
      <c r="A88" s="84"/>
      <c r="B88" s="73"/>
      <c r="C88" s="73"/>
      <c r="D88" s="73"/>
      <c r="E88" s="73"/>
      <c r="F88" s="73"/>
      <c r="G88" s="73"/>
      <c r="H88" s="73"/>
      <c r="I88" s="73"/>
      <c r="J88" s="73"/>
      <c r="K88" s="74"/>
    </row>
    <row r="89" customFormat="false" ht="14.25" hidden="false" customHeight="false" outlineLevel="0" collapsed="false">
      <c r="A89" s="84"/>
      <c r="B89" s="73"/>
      <c r="C89" s="73"/>
      <c r="D89" s="73"/>
      <c r="E89" s="73"/>
      <c r="F89" s="73"/>
      <c r="G89" s="73"/>
      <c r="H89" s="73"/>
      <c r="I89" s="73"/>
      <c r="J89" s="73"/>
      <c r="K89" s="74"/>
    </row>
    <row r="90" customFormat="false" ht="14.25" hidden="false" customHeight="false" outlineLevel="0" collapsed="false">
      <c r="A90" s="84"/>
      <c r="B90" s="73"/>
      <c r="C90" s="73"/>
      <c r="D90" s="73"/>
      <c r="E90" s="73"/>
      <c r="F90" s="73"/>
      <c r="G90" s="73"/>
      <c r="H90" s="73"/>
      <c r="I90" s="73"/>
      <c r="J90" s="73"/>
      <c r="K90" s="74"/>
    </row>
    <row r="91" customFormat="false" ht="14.25" hidden="false" customHeight="false" outlineLevel="0" collapsed="false">
      <c r="A91" s="84"/>
      <c r="B91" s="73"/>
      <c r="C91" s="73"/>
      <c r="D91" s="73"/>
      <c r="E91" s="73"/>
      <c r="F91" s="73"/>
      <c r="G91" s="73"/>
      <c r="H91" s="73"/>
      <c r="I91" s="73"/>
      <c r="J91" s="73"/>
      <c r="K91" s="74"/>
    </row>
    <row r="92" customFormat="false" ht="14.25" hidden="false" customHeight="false" outlineLevel="0" collapsed="false">
      <c r="A92" s="84"/>
      <c r="B92" s="73"/>
      <c r="C92" s="73"/>
      <c r="D92" s="73"/>
      <c r="E92" s="73"/>
      <c r="F92" s="73"/>
      <c r="G92" s="73"/>
      <c r="H92" s="73"/>
      <c r="I92" s="73"/>
      <c r="J92" s="73"/>
      <c r="K92" s="74"/>
    </row>
    <row r="93" customFormat="false" ht="14.25" hidden="false" customHeight="false" outlineLevel="0" collapsed="false">
      <c r="A93" s="84"/>
      <c r="B93" s="73"/>
      <c r="C93" s="73"/>
      <c r="D93" s="73"/>
      <c r="E93" s="73"/>
      <c r="F93" s="73"/>
      <c r="G93" s="73"/>
      <c r="H93" s="73"/>
      <c r="I93" s="73"/>
      <c r="J93" s="73"/>
      <c r="K93" s="74"/>
    </row>
    <row r="94" customFormat="false" ht="14.25" hidden="false" customHeight="false" outlineLevel="0" collapsed="false">
      <c r="A94" s="84"/>
      <c r="B94" s="73"/>
      <c r="C94" s="73"/>
      <c r="D94" s="73"/>
      <c r="E94" s="73"/>
      <c r="F94" s="73"/>
      <c r="G94" s="73"/>
      <c r="H94" s="73"/>
      <c r="I94" s="73"/>
      <c r="J94" s="73"/>
      <c r="K94" s="74"/>
    </row>
    <row r="95" customFormat="false" ht="14.25" hidden="false" customHeight="false" outlineLevel="0" collapsed="false">
      <c r="A95" s="84"/>
      <c r="B95" s="73"/>
      <c r="C95" s="73"/>
      <c r="D95" s="73"/>
      <c r="E95" s="73"/>
      <c r="F95" s="73"/>
      <c r="G95" s="73"/>
      <c r="H95" s="73"/>
      <c r="I95" s="73"/>
      <c r="J95" s="73"/>
      <c r="K95" s="74"/>
    </row>
    <row r="96" customFormat="false" ht="14.25" hidden="false" customHeight="false" outlineLevel="0" collapsed="false">
      <c r="A96" s="84"/>
      <c r="B96" s="73"/>
      <c r="C96" s="73"/>
      <c r="D96" s="73"/>
      <c r="E96" s="73"/>
      <c r="F96" s="73"/>
      <c r="G96" s="73"/>
      <c r="H96" s="73"/>
      <c r="I96" s="73"/>
      <c r="J96" s="73"/>
      <c r="K96" s="74"/>
    </row>
    <row r="97" customFormat="false" ht="14.25" hidden="false" customHeight="false" outlineLevel="0" collapsed="false">
      <c r="A97" s="86"/>
      <c r="B97" s="70"/>
      <c r="C97" s="70"/>
      <c r="D97" s="70"/>
      <c r="E97" s="70"/>
      <c r="F97" s="70"/>
      <c r="G97" s="70"/>
      <c r="H97" s="70"/>
      <c r="I97" s="70"/>
      <c r="J97" s="70"/>
      <c r="K97" s="71"/>
    </row>
    <row r="98" customFormat="false" ht="14.25" hidden="false" customHeight="false" outlineLevel="0" collapsed="false">
      <c r="A98" s="84"/>
      <c r="B98" s="73"/>
      <c r="C98" s="73"/>
      <c r="D98" s="73"/>
      <c r="E98" s="73"/>
      <c r="F98" s="73"/>
      <c r="G98" s="73"/>
      <c r="H98" s="73"/>
      <c r="I98" s="73"/>
      <c r="J98" s="73"/>
      <c r="K98" s="74"/>
    </row>
    <row r="99" customFormat="false" ht="14.25" hidden="false" customHeight="false" outlineLevel="0" collapsed="false">
      <c r="A99" s="84"/>
      <c r="B99" s="73"/>
      <c r="C99" s="73"/>
      <c r="D99" s="73"/>
      <c r="E99" s="73"/>
      <c r="F99" s="73"/>
      <c r="G99" s="73"/>
      <c r="H99" s="73"/>
      <c r="I99" s="73"/>
      <c r="J99" s="73"/>
      <c r="K99" s="74"/>
    </row>
    <row r="100" customFormat="false" ht="14.25" hidden="false" customHeight="false" outlineLevel="0" collapsed="false">
      <c r="A100" s="84"/>
      <c r="B100" s="73"/>
      <c r="C100" s="73"/>
      <c r="D100" s="73"/>
      <c r="E100" s="73"/>
      <c r="F100" s="73"/>
      <c r="G100" s="73"/>
      <c r="H100" s="73"/>
      <c r="I100" s="73"/>
      <c r="J100" s="73"/>
      <c r="K100" s="74"/>
    </row>
    <row r="101" customFormat="false" ht="14.25" hidden="false" customHeight="false" outlineLevel="0" collapsed="false">
      <c r="A101" s="85"/>
      <c r="B101" s="80"/>
      <c r="C101" s="80"/>
      <c r="D101" s="80"/>
      <c r="E101" s="80"/>
      <c r="F101" s="80"/>
      <c r="G101" s="80"/>
      <c r="H101" s="80"/>
      <c r="I101" s="80"/>
      <c r="J101" s="80"/>
      <c r="K101" s="81"/>
    </row>
    <row r="102" customFormat="false" ht="14.25" hidden="false" customHeight="false" outlineLevel="0" collapsed="false">
      <c r="A102" s="84"/>
      <c r="B102" s="73"/>
      <c r="C102" s="73"/>
      <c r="D102" s="73"/>
      <c r="E102" s="73"/>
      <c r="F102" s="73"/>
      <c r="G102" s="73"/>
      <c r="H102" s="73"/>
      <c r="I102" s="73"/>
      <c r="J102" s="73"/>
      <c r="K102" s="74"/>
    </row>
    <row r="103" customFormat="false" ht="14.25" hidden="false" customHeight="false" outlineLevel="0" collapsed="false">
      <c r="A103" s="84"/>
      <c r="B103" s="73"/>
      <c r="C103" s="73"/>
      <c r="D103" s="73"/>
      <c r="E103" s="73"/>
      <c r="F103" s="73"/>
      <c r="G103" s="73"/>
      <c r="H103" s="73"/>
      <c r="I103" s="73"/>
      <c r="J103" s="73"/>
      <c r="K103" s="74"/>
    </row>
    <row r="104" customFormat="false" ht="14.25" hidden="false" customHeight="false" outlineLevel="0" collapsed="false">
      <c r="A104" s="84"/>
      <c r="B104" s="73"/>
      <c r="C104" s="73"/>
      <c r="D104" s="73"/>
      <c r="E104" s="73"/>
      <c r="F104" s="73"/>
      <c r="G104" s="73"/>
      <c r="H104" s="73"/>
      <c r="I104" s="73"/>
      <c r="J104" s="73"/>
      <c r="K104" s="74"/>
    </row>
    <row r="105" customFormat="false" ht="14.25" hidden="false" customHeight="false" outlineLevel="0" collapsed="false">
      <c r="A105" s="84"/>
      <c r="B105" s="73"/>
      <c r="C105" s="73"/>
      <c r="D105" s="73"/>
      <c r="E105" s="73"/>
      <c r="F105" s="73"/>
      <c r="G105" s="73"/>
      <c r="H105" s="73"/>
      <c r="I105" s="73"/>
      <c r="J105" s="73"/>
      <c r="K105" s="74"/>
    </row>
    <row r="106" customFormat="false" ht="14.25" hidden="false" customHeight="false" outlineLevel="0" collapsed="false">
      <c r="A106" s="86"/>
      <c r="B106" s="70"/>
      <c r="C106" s="70"/>
      <c r="D106" s="70"/>
      <c r="E106" s="70"/>
      <c r="F106" s="70"/>
      <c r="G106" s="70"/>
      <c r="H106" s="70"/>
      <c r="I106" s="70"/>
      <c r="J106" s="70"/>
      <c r="K106" s="71"/>
    </row>
    <row r="107" customFormat="false" ht="14.25" hidden="false" customHeight="false" outlineLevel="0" collapsed="false">
      <c r="A107" s="84"/>
      <c r="B107" s="73"/>
      <c r="C107" s="73"/>
      <c r="D107" s="73"/>
      <c r="E107" s="73"/>
      <c r="F107" s="73"/>
      <c r="G107" s="73"/>
      <c r="H107" s="73"/>
      <c r="I107" s="73"/>
      <c r="J107" s="73"/>
      <c r="K107" s="74"/>
    </row>
    <row r="108" customFormat="false" ht="14.25" hidden="false" customHeight="false" outlineLevel="0" collapsed="false">
      <c r="A108" s="84"/>
      <c r="B108" s="73"/>
      <c r="C108" s="73"/>
      <c r="D108" s="73"/>
      <c r="E108" s="73"/>
      <c r="F108" s="73"/>
      <c r="G108" s="73"/>
      <c r="H108" s="73"/>
      <c r="I108" s="73"/>
      <c r="J108" s="73"/>
      <c r="K108" s="74"/>
    </row>
    <row r="109" customFormat="false" ht="14.25" hidden="false" customHeight="false" outlineLevel="0" collapsed="false">
      <c r="A109" s="84"/>
      <c r="B109" s="73"/>
      <c r="C109" s="73"/>
      <c r="D109" s="73"/>
      <c r="E109" s="73"/>
      <c r="F109" s="73"/>
      <c r="G109" s="73"/>
      <c r="H109" s="73"/>
      <c r="I109" s="73"/>
      <c r="J109" s="73"/>
      <c r="K109" s="74"/>
    </row>
    <row r="110" customFormat="false" ht="14.25" hidden="false" customHeight="false" outlineLevel="0" collapsed="false">
      <c r="A110" s="85"/>
      <c r="B110" s="80"/>
      <c r="C110" s="80"/>
      <c r="D110" s="80"/>
      <c r="E110" s="80"/>
      <c r="F110" s="80"/>
      <c r="G110" s="80"/>
      <c r="H110" s="80"/>
      <c r="I110" s="80"/>
      <c r="J110" s="80"/>
      <c r="K110" s="81"/>
    </row>
    <row r="111" customFormat="false" ht="14.25" hidden="false" customHeight="false" outlineLevel="0" collapsed="false">
      <c r="A111" s="84"/>
      <c r="B111" s="73"/>
      <c r="C111" s="73"/>
      <c r="D111" s="73"/>
      <c r="E111" s="73"/>
      <c r="F111" s="73"/>
      <c r="G111" s="73"/>
      <c r="H111" s="73"/>
      <c r="I111" s="73"/>
      <c r="J111" s="73"/>
      <c r="K111" s="74"/>
    </row>
    <row r="112" customFormat="false" ht="14.25" hidden="false" customHeight="false" outlineLevel="0" collapsed="false">
      <c r="A112" s="84"/>
      <c r="B112" s="73"/>
      <c r="C112" s="73"/>
      <c r="D112" s="73"/>
      <c r="E112" s="73"/>
      <c r="F112" s="73"/>
      <c r="G112" s="73"/>
      <c r="H112" s="73"/>
      <c r="I112" s="73"/>
      <c r="J112" s="73"/>
      <c r="K112" s="74"/>
    </row>
    <row r="113" customFormat="false" ht="14.25" hidden="false" customHeight="false" outlineLevel="0" collapsed="false">
      <c r="A113" s="84"/>
      <c r="B113" s="73"/>
      <c r="C113" s="73"/>
      <c r="D113" s="73"/>
      <c r="E113" s="73"/>
      <c r="F113" s="73"/>
      <c r="G113" s="73"/>
      <c r="H113" s="73"/>
      <c r="I113" s="73"/>
      <c r="J113" s="73"/>
      <c r="K113" s="74"/>
    </row>
    <row r="114" customFormat="false" ht="14.25" hidden="false" customHeight="false" outlineLevel="0" collapsed="false">
      <c r="A114" s="84"/>
      <c r="B114" s="73"/>
      <c r="C114" s="73"/>
      <c r="D114" s="73"/>
      <c r="E114" s="73"/>
      <c r="F114" s="73"/>
      <c r="G114" s="73"/>
      <c r="H114" s="73"/>
      <c r="I114" s="73"/>
      <c r="J114" s="73"/>
      <c r="K114" s="74"/>
    </row>
    <row r="115" customFormat="false" ht="14.25" hidden="false" customHeight="false" outlineLevel="0" collapsed="false">
      <c r="A115" s="84"/>
      <c r="B115" s="73"/>
      <c r="C115" s="73"/>
      <c r="D115" s="73"/>
      <c r="E115" s="73"/>
      <c r="F115" s="73"/>
      <c r="G115" s="73"/>
      <c r="H115" s="73"/>
      <c r="I115" s="73"/>
      <c r="J115" s="73"/>
      <c r="K115" s="74"/>
    </row>
    <row r="116" customFormat="false" ht="14.25" hidden="false" customHeight="false" outlineLevel="0" collapsed="false">
      <c r="A116" s="84"/>
      <c r="B116" s="73"/>
      <c r="C116" s="73"/>
      <c r="D116" s="73"/>
      <c r="E116" s="73"/>
      <c r="F116" s="73"/>
      <c r="G116" s="73"/>
      <c r="H116" s="73"/>
      <c r="I116" s="73"/>
      <c r="J116" s="73"/>
      <c r="K116" s="74"/>
    </row>
    <row r="117" customFormat="false" ht="14.25" hidden="false" customHeight="false" outlineLevel="0" collapsed="false">
      <c r="A117" s="84"/>
      <c r="B117" s="73"/>
      <c r="C117" s="73"/>
      <c r="D117" s="73"/>
      <c r="E117" s="73"/>
      <c r="F117" s="73"/>
      <c r="G117" s="73"/>
      <c r="H117" s="73"/>
      <c r="I117" s="73"/>
      <c r="J117" s="73"/>
      <c r="K117" s="74"/>
    </row>
    <row r="118" customFormat="false" ht="14.25" hidden="false" customHeight="false" outlineLevel="0" collapsed="false">
      <c r="A118" s="84"/>
      <c r="B118" s="73"/>
      <c r="C118" s="73"/>
      <c r="D118" s="73"/>
      <c r="E118" s="73"/>
      <c r="F118" s="73"/>
      <c r="G118" s="73"/>
      <c r="H118" s="73"/>
      <c r="I118" s="73"/>
      <c r="J118" s="73"/>
      <c r="K118" s="74"/>
    </row>
    <row r="119" customFormat="false" ht="14.25" hidden="false" customHeight="false" outlineLevel="0" collapsed="false">
      <c r="A119" s="84"/>
      <c r="B119" s="73"/>
      <c r="C119" s="73"/>
      <c r="D119" s="73"/>
      <c r="E119" s="73"/>
      <c r="F119" s="73"/>
      <c r="G119" s="73"/>
      <c r="H119" s="73"/>
      <c r="I119" s="73"/>
      <c r="J119" s="73"/>
      <c r="K119" s="74"/>
    </row>
    <row r="120" customFormat="false" ht="14.25" hidden="false" customHeight="false" outlineLevel="0" collapsed="false">
      <c r="A120" s="84"/>
      <c r="B120" s="73"/>
      <c r="C120" s="73"/>
      <c r="D120" s="73"/>
      <c r="E120" s="73"/>
      <c r="F120" s="73"/>
      <c r="G120" s="73"/>
      <c r="H120" s="73"/>
      <c r="I120" s="73"/>
      <c r="J120" s="73"/>
      <c r="K120" s="74"/>
    </row>
    <row r="121" customFormat="false" ht="14.25" hidden="false" customHeight="false" outlineLevel="0" collapsed="false">
      <c r="A121" s="84"/>
      <c r="B121" s="73"/>
      <c r="C121" s="73"/>
      <c r="D121" s="73"/>
      <c r="E121" s="73"/>
      <c r="F121" s="73"/>
      <c r="G121" s="73"/>
      <c r="H121" s="73"/>
      <c r="I121" s="73"/>
      <c r="J121" s="73"/>
      <c r="K121" s="74"/>
    </row>
    <row r="122" customFormat="false" ht="14.25" hidden="false" customHeight="false" outlineLevel="0" collapsed="false">
      <c r="A122" s="84"/>
      <c r="B122" s="73"/>
      <c r="C122" s="73"/>
      <c r="D122" s="73"/>
      <c r="E122" s="73"/>
      <c r="F122" s="73"/>
      <c r="G122" s="73"/>
      <c r="H122" s="73"/>
      <c r="I122" s="73"/>
      <c r="J122" s="73"/>
      <c r="K122" s="74"/>
    </row>
    <row r="123" customFormat="false" ht="14.25" hidden="false" customHeight="false" outlineLevel="0" collapsed="false">
      <c r="A123" s="84"/>
      <c r="B123" s="73"/>
      <c r="C123" s="73"/>
      <c r="D123" s="73"/>
      <c r="E123" s="73"/>
      <c r="F123" s="73"/>
      <c r="G123" s="73"/>
      <c r="H123" s="73"/>
      <c r="I123" s="73"/>
      <c r="J123" s="73"/>
      <c r="K123" s="74"/>
    </row>
    <row r="124" customFormat="false" ht="14.25" hidden="false" customHeight="false" outlineLevel="0" collapsed="false">
      <c r="A124" s="84"/>
      <c r="B124" s="73"/>
      <c r="C124" s="73"/>
      <c r="D124" s="73"/>
      <c r="E124" s="73"/>
      <c r="F124" s="73"/>
      <c r="G124" s="73"/>
      <c r="H124" s="73"/>
      <c r="I124" s="73"/>
      <c r="J124" s="73"/>
      <c r="K124" s="74"/>
    </row>
    <row r="125" customFormat="false" ht="14.25" hidden="false" customHeight="false" outlineLevel="0" collapsed="false">
      <c r="A125" s="84"/>
      <c r="B125" s="73"/>
      <c r="C125" s="73"/>
      <c r="D125" s="73"/>
      <c r="E125" s="73"/>
      <c r="F125" s="73"/>
      <c r="G125" s="73"/>
      <c r="H125" s="73"/>
      <c r="I125" s="73"/>
      <c r="J125" s="73"/>
      <c r="K125" s="74"/>
    </row>
    <row r="126" customFormat="false" ht="14.25" hidden="false" customHeight="false" outlineLevel="0" collapsed="false">
      <c r="A126" s="84"/>
      <c r="B126" s="73"/>
      <c r="C126" s="73"/>
      <c r="D126" s="73"/>
      <c r="E126" s="73"/>
      <c r="F126" s="73"/>
      <c r="G126" s="73"/>
      <c r="H126" s="73"/>
      <c r="I126" s="73"/>
      <c r="J126" s="73"/>
      <c r="K126" s="74"/>
    </row>
    <row r="127" customFormat="false" ht="14.25" hidden="false" customHeight="false" outlineLevel="0" collapsed="false">
      <c r="A127" s="84"/>
      <c r="B127" s="73"/>
      <c r="C127" s="73"/>
      <c r="D127" s="73"/>
      <c r="E127" s="73"/>
      <c r="F127" s="73"/>
      <c r="G127" s="73"/>
      <c r="H127" s="73"/>
      <c r="I127" s="73"/>
      <c r="J127" s="73"/>
      <c r="K127" s="74"/>
    </row>
    <row r="128" customFormat="false" ht="14.25" hidden="false" customHeight="false" outlineLevel="0" collapsed="false">
      <c r="A128" s="84"/>
      <c r="B128" s="73"/>
      <c r="C128" s="73"/>
      <c r="D128" s="73"/>
      <c r="E128" s="73"/>
      <c r="F128" s="73"/>
      <c r="G128" s="73"/>
      <c r="H128" s="73"/>
      <c r="I128" s="73"/>
      <c r="J128" s="73"/>
      <c r="K128" s="74"/>
    </row>
    <row r="129" customFormat="false" ht="14.25" hidden="false" customHeight="false" outlineLevel="0" collapsed="false">
      <c r="A129" s="84"/>
      <c r="B129" s="73"/>
      <c r="C129" s="73"/>
      <c r="D129" s="73"/>
      <c r="E129" s="73"/>
      <c r="F129" s="73"/>
      <c r="G129" s="73"/>
      <c r="H129" s="73"/>
      <c r="I129" s="73"/>
      <c r="J129" s="73"/>
      <c r="K129" s="74"/>
    </row>
    <row r="130" customFormat="false" ht="14.25" hidden="false" customHeight="false" outlineLevel="0" collapsed="false">
      <c r="A130" s="84"/>
      <c r="B130" s="73"/>
      <c r="C130" s="73"/>
      <c r="D130" s="73"/>
      <c r="E130" s="73"/>
      <c r="F130" s="73"/>
      <c r="G130" s="73"/>
      <c r="H130" s="73"/>
      <c r="I130" s="73"/>
      <c r="J130" s="73"/>
      <c r="K130" s="74"/>
    </row>
    <row r="131" customFormat="false" ht="14.25" hidden="false" customHeight="false" outlineLevel="0" collapsed="false">
      <c r="A131" s="84"/>
      <c r="B131" s="73"/>
      <c r="C131" s="73"/>
      <c r="D131" s="73"/>
      <c r="E131" s="73"/>
      <c r="F131" s="73"/>
      <c r="G131" s="73"/>
      <c r="H131" s="73"/>
      <c r="I131" s="73"/>
      <c r="J131" s="73"/>
      <c r="K131" s="74"/>
    </row>
    <row r="132" customFormat="false" ht="14.25" hidden="false" customHeight="false" outlineLevel="0" collapsed="false">
      <c r="A132" s="84"/>
      <c r="B132" s="73"/>
      <c r="C132" s="73"/>
      <c r="D132" s="73"/>
      <c r="E132" s="73"/>
      <c r="F132" s="73"/>
      <c r="G132" s="73"/>
      <c r="H132" s="73"/>
      <c r="I132" s="73"/>
      <c r="J132" s="73"/>
      <c r="K132" s="74"/>
    </row>
    <row r="133" customFormat="false" ht="14.25" hidden="false" customHeight="false" outlineLevel="0" collapsed="false">
      <c r="A133" s="84"/>
      <c r="B133" s="73"/>
      <c r="C133" s="73"/>
      <c r="D133" s="73"/>
      <c r="E133" s="73"/>
      <c r="F133" s="73"/>
      <c r="G133" s="73"/>
      <c r="H133" s="73"/>
      <c r="I133" s="73"/>
      <c r="J133" s="73"/>
      <c r="K133" s="74"/>
    </row>
    <row r="134" customFormat="false" ht="14.25" hidden="false" customHeight="false" outlineLevel="0" collapsed="false">
      <c r="A134" s="86"/>
      <c r="B134" s="70"/>
      <c r="C134" s="70"/>
      <c r="D134" s="70"/>
      <c r="E134" s="70"/>
      <c r="F134" s="70"/>
      <c r="G134" s="70"/>
      <c r="H134" s="70"/>
      <c r="I134" s="70"/>
      <c r="J134" s="70"/>
      <c r="K134" s="71"/>
    </row>
    <row r="135" customFormat="false" ht="14.25" hidden="false" customHeight="false" outlineLevel="0" collapsed="false">
      <c r="A135" s="84"/>
      <c r="B135" s="73"/>
      <c r="C135" s="73"/>
      <c r="D135" s="73"/>
      <c r="E135" s="73"/>
      <c r="F135" s="73"/>
      <c r="G135" s="73"/>
      <c r="H135" s="73"/>
      <c r="I135" s="73"/>
      <c r="J135" s="73"/>
      <c r="K135" s="74"/>
    </row>
    <row r="136" customFormat="false" ht="14.25" hidden="false" customHeight="false" outlineLevel="0" collapsed="false">
      <c r="A136" s="84"/>
      <c r="B136" s="73"/>
      <c r="C136" s="73"/>
      <c r="D136" s="73"/>
      <c r="E136" s="73"/>
      <c r="F136" s="73"/>
      <c r="G136" s="73"/>
      <c r="H136" s="73"/>
      <c r="I136" s="73"/>
      <c r="J136" s="73"/>
      <c r="K136" s="74"/>
    </row>
    <row r="137" customFormat="false" ht="14.25" hidden="false" customHeight="false" outlineLevel="0" collapsed="false">
      <c r="A137" s="84"/>
      <c r="B137" s="73"/>
      <c r="C137" s="73"/>
      <c r="D137" s="73"/>
      <c r="E137" s="73"/>
      <c r="F137" s="73"/>
      <c r="G137" s="73"/>
      <c r="H137" s="73"/>
      <c r="I137" s="73"/>
      <c r="J137" s="73"/>
      <c r="K137" s="74"/>
    </row>
    <row r="138" customFormat="false" ht="14.25" hidden="false" customHeight="false" outlineLevel="0" collapsed="false">
      <c r="A138" s="85"/>
      <c r="B138" s="80"/>
      <c r="C138" s="80"/>
      <c r="D138" s="80"/>
      <c r="E138" s="80"/>
      <c r="F138" s="80"/>
      <c r="G138" s="80"/>
      <c r="H138" s="80"/>
      <c r="I138" s="80"/>
      <c r="J138" s="80"/>
      <c r="K138" s="81"/>
    </row>
    <row r="139" customFormat="false" ht="14.25" hidden="false" customHeight="false" outlineLevel="0" collapsed="false">
      <c r="A139" s="84"/>
      <c r="B139" s="73"/>
      <c r="C139" s="73"/>
      <c r="D139" s="73"/>
      <c r="E139" s="73"/>
      <c r="F139" s="73"/>
      <c r="G139" s="73"/>
      <c r="H139" s="73"/>
      <c r="I139" s="73"/>
      <c r="J139" s="73"/>
      <c r="K139" s="74"/>
    </row>
    <row r="140" customFormat="false" ht="14.25" hidden="false" customHeight="false" outlineLevel="0" collapsed="false">
      <c r="A140" s="84"/>
      <c r="B140" s="73"/>
      <c r="C140" s="73"/>
      <c r="D140" s="73"/>
      <c r="E140" s="73"/>
      <c r="F140" s="73"/>
      <c r="G140" s="73"/>
      <c r="H140" s="73"/>
      <c r="I140" s="73"/>
      <c r="J140" s="73"/>
      <c r="K140" s="74"/>
    </row>
    <row r="141" customFormat="false" ht="14.25" hidden="false" customHeight="false" outlineLevel="0" collapsed="false">
      <c r="A141" s="84"/>
      <c r="B141" s="73"/>
      <c r="C141" s="73"/>
      <c r="D141" s="73"/>
      <c r="E141" s="73"/>
      <c r="F141" s="73"/>
      <c r="G141" s="73"/>
      <c r="H141" s="73"/>
      <c r="I141" s="73"/>
      <c r="J141" s="73"/>
      <c r="K141" s="74"/>
    </row>
    <row r="142" customFormat="false" ht="14.25" hidden="false" customHeight="false" outlineLevel="0" collapsed="false">
      <c r="A142" s="84"/>
      <c r="B142" s="73"/>
      <c r="C142" s="73"/>
      <c r="D142" s="73"/>
      <c r="E142" s="73"/>
      <c r="F142" s="73"/>
      <c r="G142" s="73"/>
      <c r="H142" s="73"/>
      <c r="I142" s="73"/>
      <c r="J142" s="73"/>
      <c r="K142" s="74"/>
    </row>
    <row r="143" customFormat="false" ht="14.25" hidden="false" customHeight="false" outlineLevel="0" collapsed="false">
      <c r="A143" s="86"/>
      <c r="B143" s="70"/>
      <c r="C143" s="70"/>
      <c r="D143" s="70"/>
      <c r="E143" s="70"/>
      <c r="F143" s="70"/>
      <c r="G143" s="70"/>
      <c r="H143" s="70"/>
      <c r="I143" s="70"/>
      <c r="J143" s="70"/>
      <c r="K143" s="71"/>
    </row>
    <row r="144" customFormat="false" ht="14.25" hidden="false" customHeight="false" outlineLevel="0" collapsed="false">
      <c r="A144" s="84"/>
      <c r="B144" s="73"/>
      <c r="C144" s="73"/>
      <c r="D144" s="73"/>
      <c r="E144" s="73"/>
      <c r="F144" s="73"/>
      <c r="G144" s="73"/>
      <c r="H144" s="73"/>
      <c r="I144" s="73"/>
      <c r="J144" s="73"/>
      <c r="K144" s="74"/>
    </row>
    <row r="145" customFormat="false" ht="14.25" hidden="false" customHeight="false" outlineLevel="0" collapsed="false">
      <c r="A145" s="84"/>
      <c r="B145" s="73"/>
      <c r="C145" s="73"/>
      <c r="D145" s="73"/>
      <c r="E145" s="73"/>
      <c r="F145" s="73"/>
      <c r="G145" s="73"/>
      <c r="H145" s="73"/>
      <c r="I145" s="73"/>
      <c r="J145" s="73"/>
      <c r="K145" s="74"/>
    </row>
    <row r="146" customFormat="false" ht="14.25" hidden="false" customHeight="false" outlineLevel="0" collapsed="false">
      <c r="A146" s="84"/>
      <c r="B146" s="73"/>
      <c r="C146" s="73"/>
      <c r="D146" s="73"/>
      <c r="E146" s="73"/>
      <c r="F146" s="73"/>
      <c r="G146" s="73"/>
      <c r="H146" s="73"/>
      <c r="I146" s="73"/>
      <c r="J146" s="73"/>
      <c r="K146" s="74"/>
    </row>
    <row r="147" customFormat="false" ht="14.25" hidden="false" customHeight="false" outlineLevel="0" collapsed="false">
      <c r="A147" s="85"/>
      <c r="B147" s="80"/>
      <c r="C147" s="80"/>
      <c r="D147" s="80"/>
      <c r="E147" s="80"/>
      <c r="F147" s="80"/>
      <c r="G147" s="80"/>
      <c r="H147" s="80"/>
      <c r="I147" s="80"/>
      <c r="J147" s="80"/>
      <c r="K147" s="81"/>
    </row>
    <row r="148" customFormat="false" ht="14.25" hidden="false" customHeight="false" outlineLevel="0" collapsed="false">
      <c r="A148" s="84"/>
      <c r="B148" s="73"/>
      <c r="C148" s="73"/>
      <c r="D148" s="73"/>
      <c r="E148" s="73"/>
      <c r="F148" s="73"/>
      <c r="G148" s="73"/>
      <c r="H148" s="73"/>
      <c r="I148" s="73"/>
      <c r="J148" s="73"/>
      <c r="K148" s="74"/>
    </row>
    <row r="149" customFormat="false" ht="14.25" hidden="false" customHeight="false" outlineLevel="0" collapsed="false">
      <c r="A149" s="84"/>
      <c r="B149" s="73"/>
      <c r="C149" s="73"/>
      <c r="D149" s="73"/>
      <c r="E149" s="73"/>
      <c r="F149" s="73"/>
      <c r="G149" s="73"/>
      <c r="H149" s="73"/>
      <c r="I149" s="73"/>
      <c r="J149" s="73"/>
      <c r="K149" s="74"/>
    </row>
    <row r="150" customFormat="false" ht="14.25" hidden="false" customHeight="false" outlineLevel="0" collapsed="false">
      <c r="A150" s="84"/>
      <c r="B150" s="73"/>
      <c r="C150" s="73"/>
      <c r="D150" s="73"/>
      <c r="E150" s="73"/>
      <c r="F150" s="73"/>
      <c r="G150" s="73"/>
      <c r="H150" s="73"/>
      <c r="I150" s="73"/>
      <c r="J150" s="73"/>
      <c r="K150" s="74"/>
    </row>
    <row r="151" customFormat="false" ht="14.25" hidden="false" customHeight="false" outlineLevel="0" collapsed="false">
      <c r="A151" s="84"/>
      <c r="B151" s="73"/>
      <c r="C151" s="73"/>
      <c r="D151" s="73"/>
      <c r="E151" s="73"/>
      <c r="F151" s="73"/>
      <c r="G151" s="73"/>
      <c r="H151" s="73"/>
      <c r="I151" s="73"/>
      <c r="J151" s="73"/>
      <c r="K151" s="74"/>
    </row>
    <row r="152" customFormat="false" ht="14.25" hidden="false" customHeight="false" outlineLevel="0" collapsed="false">
      <c r="A152" s="84"/>
      <c r="B152" s="73"/>
      <c r="C152" s="73"/>
      <c r="D152" s="73"/>
      <c r="E152" s="73"/>
      <c r="F152" s="73"/>
      <c r="G152" s="73"/>
      <c r="H152" s="73"/>
      <c r="I152" s="73"/>
      <c r="J152" s="73"/>
      <c r="K152" s="74"/>
    </row>
    <row r="153" customFormat="false" ht="14.25" hidden="false" customHeight="false" outlineLevel="0" collapsed="false">
      <c r="A153" s="84"/>
      <c r="B153" s="73"/>
      <c r="C153" s="73"/>
      <c r="D153" s="73"/>
      <c r="E153" s="73"/>
      <c r="F153" s="73"/>
      <c r="G153" s="73"/>
      <c r="H153" s="73"/>
      <c r="I153" s="73"/>
      <c r="J153" s="73"/>
      <c r="K153" s="74"/>
    </row>
    <row r="154" customFormat="false" ht="14.25" hidden="false" customHeight="false" outlineLevel="0" collapsed="false">
      <c r="A154" s="84"/>
      <c r="B154" s="73"/>
      <c r="C154" s="73"/>
      <c r="D154" s="73"/>
      <c r="E154" s="73"/>
      <c r="F154" s="73"/>
      <c r="G154" s="73"/>
      <c r="H154" s="73"/>
      <c r="I154" s="73"/>
      <c r="J154" s="73"/>
      <c r="K154" s="74"/>
    </row>
    <row r="155" customFormat="false" ht="14.25" hidden="false" customHeight="false" outlineLevel="0" collapsed="false">
      <c r="A155" s="84"/>
      <c r="B155" s="73"/>
      <c r="C155" s="73"/>
      <c r="D155" s="73"/>
      <c r="E155" s="73"/>
      <c r="F155" s="73"/>
      <c r="G155" s="73"/>
      <c r="H155" s="73"/>
      <c r="I155" s="73"/>
      <c r="J155" s="73"/>
      <c r="K155" s="74"/>
    </row>
    <row r="156" customFormat="false" ht="14.25" hidden="false" customHeight="false" outlineLevel="0" collapsed="false">
      <c r="A156" s="84"/>
      <c r="B156" s="73"/>
      <c r="C156" s="73"/>
      <c r="D156" s="73"/>
      <c r="E156" s="73"/>
      <c r="F156" s="73"/>
      <c r="G156" s="73"/>
      <c r="H156" s="73"/>
      <c r="I156" s="73"/>
      <c r="J156" s="73"/>
      <c r="K156" s="74"/>
    </row>
    <row r="157" customFormat="false" ht="14.25" hidden="false" customHeight="false" outlineLevel="0" collapsed="false">
      <c r="A157" s="84"/>
      <c r="B157" s="73"/>
      <c r="C157" s="73"/>
      <c r="D157" s="73"/>
      <c r="E157" s="73"/>
      <c r="F157" s="73"/>
      <c r="G157" s="73"/>
      <c r="H157" s="73"/>
      <c r="I157" s="73"/>
      <c r="J157" s="73"/>
      <c r="K157" s="74"/>
    </row>
    <row r="158" customFormat="false" ht="14.25" hidden="false" customHeight="false" outlineLevel="0" collapsed="false">
      <c r="A158" s="84"/>
      <c r="B158" s="73"/>
      <c r="C158" s="73"/>
      <c r="D158" s="73"/>
      <c r="E158" s="73"/>
      <c r="F158" s="73"/>
      <c r="G158" s="73"/>
      <c r="H158" s="73"/>
      <c r="I158" s="73"/>
      <c r="J158" s="73"/>
      <c r="K158" s="74"/>
    </row>
    <row r="159" customFormat="false" ht="14.25" hidden="false" customHeight="false" outlineLevel="0" collapsed="false">
      <c r="A159" s="84"/>
      <c r="B159" s="73"/>
      <c r="C159" s="73"/>
      <c r="D159" s="73"/>
      <c r="E159" s="73"/>
      <c r="F159" s="73"/>
      <c r="G159" s="73"/>
      <c r="H159" s="73"/>
      <c r="I159" s="73"/>
      <c r="J159" s="73"/>
      <c r="K159" s="74"/>
    </row>
    <row r="160" customFormat="false" ht="14.25" hidden="false" customHeight="false" outlineLevel="0" collapsed="false">
      <c r="A160" s="84"/>
      <c r="B160" s="73"/>
      <c r="C160" s="73"/>
      <c r="D160" s="73"/>
      <c r="E160" s="73"/>
      <c r="F160" s="73"/>
      <c r="G160" s="73"/>
      <c r="H160" s="73"/>
      <c r="I160" s="73"/>
      <c r="J160" s="73"/>
      <c r="K160" s="74"/>
    </row>
    <row r="161" customFormat="false" ht="14.25" hidden="false" customHeight="false" outlineLevel="0" collapsed="false">
      <c r="A161" s="84"/>
      <c r="B161" s="73"/>
      <c r="C161" s="73"/>
      <c r="D161" s="73"/>
      <c r="E161" s="73"/>
      <c r="F161" s="73"/>
      <c r="G161" s="73"/>
      <c r="H161" s="73"/>
      <c r="I161" s="73"/>
      <c r="J161" s="73"/>
      <c r="K161" s="74"/>
    </row>
    <row r="162" customFormat="false" ht="14.25" hidden="false" customHeight="false" outlineLevel="0" collapsed="false">
      <c r="A162" s="84"/>
      <c r="B162" s="73"/>
      <c r="C162" s="73"/>
      <c r="D162" s="73"/>
      <c r="E162" s="73"/>
      <c r="F162" s="73"/>
      <c r="G162" s="73"/>
      <c r="H162" s="73"/>
      <c r="I162" s="73"/>
      <c r="J162" s="73"/>
      <c r="K162" s="74"/>
    </row>
    <row r="163" customFormat="false" ht="14.25" hidden="false" customHeight="false" outlineLevel="0" collapsed="false">
      <c r="A163" s="84"/>
      <c r="B163" s="73"/>
      <c r="C163" s="73"/>
      <c r="D163" s="73"/>
      <c r="E163" s="73"/>
      <c r="F163" s="73"/>
      <c r="G163" s="73"/>
      <c r="H163" s="73"/>
      <c r="I163" s="73"/>
      <c r="J163" s="73"/>
      <c r="K163" s="74"/>
    </row>
    <row r="164" customFormat="false" ht="14.25" hidden="false" customHeight="false" outlineLevel="0" collapsed="false">
      <c r="A164" s="84"/>
      <c r="B164" s="73"/>
      <c r="C164" s="73"/>
      <c r="D164" s="73"/>
      <c r="E164" s="73"/>
      <c r="F164" s="73"/>
      <c r="G164" s="73"/>
      <c r="H164" s="73"/>
      <c r="I164" s="73"/>
      <c r="J164" s="73"/>
      <c r="K164" s="74"/>
    </row>
    <row r="165" customFormat="false" ht="14.25" hidden="false" customHeight="false" outlineLevel="0" collapsed="false">
      <c r="A165" s="84"/>
      <c r="B165" s="73"/>
      <c r="C165" s="73"/>
      <c r="D165" s="73"/>
      <c r="E165" s="73"/>
      <c r="F165" s="73"/>
      <c r="G165" s="73"/>
      <c r="H165" s="73"/>
      <c r="I165" s="73"/>
      <c r="J165" s="73"/>
      <c r="K165" s="74"/>
    </row>
    <row r="166" customFormat="false" ht="14.25" hidden="false" customHeight="false" outlineLevel="0" collapsed="false">
      <c r="A166" s="84"/>
      <c r="B166" s="73"/>
      <c r="C166" s="73"/>
      <c r="D166" s="73"/>
      <c r="E166" s="73"/>
      <c r="F166" s="73"/>
      <c r="G166" s="73"/>
      <c r="H166" s="73"/>
      <c r="I166" s="73"/>
      <c r="J166" s="73"/>
      <c r="K166" s="74"/>
    </row>
    <row r="167" customFormat="false" ht="14.25" hidden="false" customHeight="false" outlineLevel="0" collapsed="false">
      <c r="A167" s="84"/>
      <c r="B167" s="73"/>
      <c r="C167" s="73"/>
      <c r="D167" s="73"/>
      <c r="E167" s="73"/>
      <c r="F167" s="73"/>
      <c r="G167" s="73"/>
      <c r="H167" s="73"/>
      <c r="I167" s="73"/>
      <c r="J167" s="73"/>
      <c r="K167" s="74"/>
    </row>
    <row r="168" customFormat="false" ht="14.25" hidden="false" customHeight="false" outlineLevel="0" collapsed="false">
      <c r="A168" s="84"/>
      <c r="B168" s="73"/>
      <c r="C168" s="73"/>
      <c r="D168" s="73"/>
      <c r="E168" s="73"/>
      <c r="F168" s="73"/>
      <c r="G168" s="73"/>
      <c r="H168" s="73"/>
      <c r="I168" s="73"/>
      <c r="J168" s="73"/>
      <c r="K168" s="74"/>
    </row>
    <row r="169" customFormat="false" ht="14.25" hidden="false" customHeight="false" outlineLevel="0" collapsed="false">
      <c r="A169" s="84"/>
      <c r="B169" s="73"/>
      <c r="C169" s="73"/>
      <c r="D169" s="73"/>
      <c r="E169" s="73"/>
      <c r="F169" s="73"/>
      <c r="G169" s="73"/>
      <c r="H169" s="73"/>
      <c r="I169" s="73"/>
      <c r="J169" s="73"/>
      <c r="K169" s="74"/>
    </row>
    <row r="170" customFormat="false" ht="14.25" hidden="false" customHeight="false" outlineLevel="0" collapsed="false">
      <c r="A170" s="84"/>
      <c r="B170" s="73"/>
      <c r="C170" s="73"/>
      <c r="D170" s="73"/>
      <c r="E170" s="73"/>
      <c r="F170" s="73"/>
      <c r="G170" s="73"/>
      <c r="H170" s="73"/>
      <c r="I170" s="73"/>
      <c r="J170" s="73"/>
      <c r="K170" s="74"/>
    </row>
    <row r="171" customFormat="false" ht="14.25" hidden="false" customHeight="false" outlineLevel="0" collapsed="false">
      <c r="A171" s="86"/>
      <c r="B171" s="70"/>
      <c r="C171" s="70"/>
      <c r="D171" s="70"/>
      <c r="E171" s="70"/>
      <c r="F171" s="70"/>
      <c r="G171" s="70"/>
      <c r="H171" s="70"/>
      <c r="I171" s="70"/>
      <c r="J171" s="70"/>
      <c r="K171" s="71"/>
    </row>
    <row r="172" customFormat="false" ht="14.25" hidden="false" customHeight="false" outlineLevel="0" collapsed="false">
      <c r="A172" s="84"/>
      <c r="B172" s="73"/>
      <c r="C172" s="73"/>
      <c r="D172" s="73"/>
      <c r="E172" s="73"/>
      <c r="F172" s="73"/>
      <c r="G172" s="73"/>
      <c r="H172" s="73"/>
      <c r="I172" s="73"/>
      <c r="J172" s="73"/>
      <c r="K172" s="74"/>
    </row>
    <row r="173" customFormat="false" ht="14.25" hidden="false" customHeight="false" outlineLevel="0" collapsed="false">
      <c r="A173" s="84"/>
      <c r="B173" s="73"/>
      <c r="C173" s="73"/>
      <c r="D173" s="73"/>
      <c r="E173" s="73"/>
      <c r="F173" s="73"/>
      <c r="G173" s="73"/>
      <c r="H173" s="73"/>
      <c r="I173" s="73"/>
      <c r="J173" s="73"/>
      <c r="K173" s="74"/>
    </row>
    <row r="174" customFormat="false" ht="14.25" hidden="false" customHeight="false" outlineLevel="0" collapsed="false">
      <c r="A174" s="84"/>
      <c r="B174" s="73"/>
      <c r="C174" s="73"/>
      <c r="D174" s="73"/>
      <c r="E174" s="73"/>
      <c r="F174" s="73"/>
      <c r="G174" s="73"/>
      <c r="H174" s="73"/>
      <c r="I174" s="73"/>
      <c r="J174" s="73"/>
      <c r="K174" s="74"/>
    </row>
    <row r="175" customFormat="false" ht="14.25" hidden="false" customHeight="false" outlineLevel="0" collapsed="false">
      <c r="A175" s="85"/>
      <c r="B175" s="80"/>
      <c r="C175" s="80"/>
      <c r="D175" s="80"/>
      <c r="E175" s="80"/>
      <c r="F175" s="80"/>
      <c r="G175" s="80"/>
      <c r="H175" s="80"/>
      <c r="I175" s="80"/>
      <c r="J175" s="80"/>
      <c r="K175" s="81"/>
    </row>
    <row r="176" customFormat="false" ht="14.25" hidden="false" customHeight="false" outlineLevel="0" collapsed="false">
      <c r="A176" s="84"/>
      <c r="B176" s="73"/>
      <c r="C176" s="73"/>
      <c r="D176" s="73"/>
      <c r="E176" s="73"/>
      <c r="F176" s="73"/>
      <c r="G176" s="73"/>
      <c r="H176" s="73"/>
      <c r="I176" s="73"/>
      <c r="J176" s="73"/>
      <c r="K176" s="74"/>
    </row>
    <row r="177" customFormat="false" ht="14.25" hidden="false" customHeight="false" outlineLevel="0" collapsed="false">
      <c r="A177" s="84"/>
      <c r="B177" s="73"/>
      <c r="C177" s="73"/>
      <c r="D177" s="73"/>
      <c r="E177" s="73"/>
      <c r="F177" s="73"/>
      <c r="G177" s="73"/>
      <c r="H177" s="73"/>
      <c r="I177" s="73"/>
      <c r="J177" s="73"/>
      <c r="K177" s="74"/>
    </row>
    <row r="178" customFormat="false" ht="14.25" hidden="false" customHeight="false" outlineLevel="0" collapsed="false">
      <c r="A178" s="84"/>
      <c r="B178" s="73"/>
      <c r="C178" s="73"/>
      <c r="D178" s="73"/>
      <c r="E178" s="73"/>
      <c r="F178" s="73"/>
      <c r="G178" s="73"/>
      <c r="H178" s="73"/>
      <c r="I178" s="73"/>
      <c r="J178" s="73"/>
      <c r="K178" s="74"/>
    </row>
    <row r="179" customFormat="false" ht="14.25" hidden="false" customHeight="false" outlineLevel="0" collapsed="false">
      <c r="A179" s="84"/>
      <c r="B179" s="73"/>
      <c r="C179" s="73"/>
      <c r="D179" s="73"/>
      <c r="E179" s="73"/>
      <c r="F179" s="73"/>
      <c r="G179" s="73"/>
      <c r="H179" s="73"/>
      <c r="I179" s="73"/>
      <c r="J179" s="73"/>
      <c r="K179" s="74"/>
    </row>
    <row r="180" customFormat="false" ht="14.25" hidden="false" customHeight="false" outlineLevel="0" collapsed="false">
      <c r="A180" s="86"/>
      <c r="B180" s="70"/>
      <c r="C180" s="70"/>
      <c r="D180" s="70"/>
      <c r="E180" s="70"/>
      <c r="F180" s="70"/>
      <c r="G180" s="70"/>
      <c r="H180" s="70"/>
      <c r="I180" s="70"/>
      <c r="J180" s="70"/>
      <c r="K180" s="71"/>
    </row>
    <row r="181" customFormat="false" ht="14.25" hidden="false" customHeight="false" outlineLevel="0" collapsed="false">
      <c r="A181" s="84"/>
      <c r="B181" s="73"/>
      <c r="C181" s="73"/>
      <c r="D181" s="73"/>
      <c r="E181" s="73"/>
      <c r="F181" s="73"/>
      <c r="G181" s="73"/>
      <c r="H181" s="73"/>
      <c r="I181" s="73"/>
      <c r="J181" s="73"/>
      <c r="K181" s="74"/>
    </row>
    <row r="182" customFormat="false" ht="14.25" hidden="false" customHeight="false" outlineLevel="0" collapsed="false">
      <c r="A182" s="84"/>
      <c r="B182" s="73"/>
      <c r="C182" s="73"/>
      <c r="D182" s="73"/>
      <c r="E182" s="73"/>
      <c r="F182" s="73"/>
      <c r="G182" s="73"/>
      <c r="H182" s="73"/>
      <c r="I182" s="73"/>
      <c r="J182" s="73"/>
      <c r="K182" s="74"/>
    </row>
    <row r="183" customFormat="false" ht="14.25" hidden="false" customHeight="false" outlineLevel="0" collapsed="false">
      <c r="A183" s="84"/>
      <c r="B183" s="73"/>
      <c r="C183" s="73"/>
      <c r="D183" s="73"/>
      <c r="E183" s="73"/>
      <c r="F183" s="73"/>
      <c r="G183" s="73"/>
      <c r="H183" s="73"/>
      <c r="I183" s="73"/>
      <c r="J183" s="73"/>
      <c r="K183" s="74"/>
    </row>
    <row r="184" customFormat="false" ht="14.25" hidden="false" customHeight="false" outlineLevel="0" collapsed="false">
      <c r="A184" s="85"/>
      <c r="B184" s="80"/>
      <c r="C184" s="80"/>
      <c r="D184" s="80"/>
      <c r="E184" s="80"/>
      <c r="F184" s="80"/>
      <c r="G184" s="80"/>
      <c r="H184" s="80"/>
      <c r="I184" s="80"/>
      <c r="J184" s="80"/>
      <c r="K184" s="81"/>
    </row>
    <row r="185" customFormat="false" ht="14.25" hidden="false" customHeight="false" outlineLevel="0" collapsed="false">
      <c r="A185" s="84"/>
      <c r="B185" s="73"/>
      <c r="C185" s="73"/>
      <c r="D185" s="73"/>
      <c r="E185" s="73"/>
      <c r="F185" s="73"/>
      <c r="G185" s="73"/>
      <c r="H185" s="73"/>
      <c r="I185" s="73"/>
      <c r="J185" s="73"/>
      <c r="K185" s="74"/>
    </row>
    <row r="186" customFormat="false" ht="14.25" hidden="false" customHeight="false" outlineLevel="0" collapsed="false">
      <c r="A186" s="84"/>
      <c r="B186" s="73"/>
      <c r="C186" s="73"/>
      <c r="D186" s="73"/>
      <c r="E186" s="73"/>
      <c r="F186" s="73"/>
      <c r="G186" s="73"/>
      <c r="H186" s="73"/>
      <c r="I186" s="73"/>
      <c r="J186" s="73"/>
      <c r="K186" s="74"/>
    </row>
    <row r="187" customFormat="false" ht="14.25" hidden="false" customHeight="false" outlineLevel="0" collapsed="false">
      <c r="A187" s="84"/>
      <c r="B187" s="73"/>
      <c r="C187" s="73"/>
      <c r="D187" s="73"/>
      <c r="E187" s="73"/>
      <c r="F187" s="73"/>
      <c r="G187" s="73"/>
      <c r="H187" s="73"/>
      <c r="I187" s="73"/>
      <c r="J187" s="73"/>
      <c r="K187" s="74"/>
    </row>
    <row r="188" customFormat="false" ht="14.25" hidden="false" customHeight="false" outlineLevel="0" collapsed="false">
      <c r="A188" s="84"/>
      <c r="B188" s="73"/>
      <c r="C188" s="73"/>
      <c r="D188" s="73"/>
      <c r="E188" s="73"/>
      <c r="F188" s="73"/>
      <c r="G188" s="73"/>
      <c r="H188" s="73"/>
      <c r="I188" s="73"/>
      <c r="J188" s="73"/>
      <c r="K188" s="74"/>
    </row>
    <row r="189" customFormat="false" ht="14.25" hidden="false" customHeight="false" outlineLevel="0" collapsed="false">
      <c r="A189" s="84"/>
      <c r="B189" s="73"/>
      <c r="C189" s="73"/>
      <c r="D189" s="73"/>
      <c r="E189" s="73"/>
      <c r="F189" s="73"/>
      <c r="G189" s="73"/>
      <c r="H189" s="73"/>
      <c r="I189" s="73"/>
      <c r="J189" s="73"/>
      <c r="K189" s="74"/>
    </row>
    <row r="190" customFormat="false" ht="14.25" hidden="false" customHeight="false" outlineLevel="0" collapsed="false">
      <c r="A190" s="84"/>
      <c r="B190" s="73"/>
      <c r="C190" s="73"/>
      <c r="D190" s="73"/>
      <c r="E190" s="73"/>
      <c r="F190" s="73"/>
      <c r="G190" s="73"/>
      <c r="H190" s="73"/>
      <c r="I190" s="73"/>
      <c r="J190" s="73"/>
      <c r="K190" s="74"/>
    </row>
    <row r="191" customFormat="false" ht="14.25" hidden="false" customHeight="false" outlineLevel="0" collapsed="false">
      <c r="A191" s="84"/>
      <c r="B191" s="73"/>
      <c r="C191" s="73"/>
      <c r="D191" s="73"/>
      <c r="E191" s="73"/>
      <c r="F191" s="73"/>
      <c r="G191" s="73"/>
      <c r="H191" s="73"/>
      <c r="I191" s="73"/>
      <c r="J191" s="73"/>
      <c r="K191" s="74"/>
    </row>
    <row r="192" customFormat="false" ht="14.25" hidden="false" customHeight="false" outlineLevel="0" collapsed="false">
      <c r="A192" s="84"/>
      <c r="B192" s="73"/>
      <c r="C192" s="73"/>
      <c r="D192" s="73"/>
      <c r="E192" s="73"/>
      <c r="F192" s="73"/>
      <c r="G192" s="73"/>
      <c r="H192" s="73"/>
      <c r="I192" s="73"/>
      <c r="J192" s="73"/>
      <c r="K192" s="74"/>
    </row>
    <row r="193" customFormat="false" ht="14.25" hidden="false" customHeight="false" outlineLevel="0" collapsed="false">
      <c r="A193" s="84"/>
      <c r="B193" s="73"/>
      <c r="C193" s="73"/>
      <c r="D193" s="73"/>
      <c r="E193" s="73"/>
      <c r="F193" s="73"/>
      <c r="G193" s="73"/>
      <c r="H193" s="73"/>
      <c r="I193" s="73"/>
      <c r="J193" s="73"/>
      <c r="K193" s="74"/>
    </row>
    <row r="194" customFormat="false" ht="14.25" hidden="false" customHeight="false" outlineLevel="0" collapsed="false">
      <c r="A194" s="84"/>
      <c r="B194" s="73"/>
      <c r="C194" s="73"/>
      <c r="D194" s="73"/>
      <c r="E194" s="73"/>
      <c r="F194" s="73"/>
      <c r="G194" s="73"/>
      <c r="H194" s="73"/>
      <c r="I194" s="73"/>
      <c r="J194" s="73"/>
      <c r="K194" s="74"/>
    </row>
    <row r="195" customFormat="false" ht="14.25" hidden="false" customHeight="false" outlineLevel="0" collapsed="false">
      <c r="A195" s="84"/>
      <c r="B195" s="73"/>
      <c r="C195" s="73"/>
      <c r="D195" s="73"/>
      <c r="E195" s="73"/>
      <c r="F195" s="73"/>
      <c r="G195" s="73"/>
      <c r="H195" s="73"/>
      <c r="I195" s="73"/>
      <c r="J195" s="73"/>
      <c r="K195" s="74"/>
    </row>
    <row r="196" customFormat="false" ht="14.25" hidden="false" customHeight="false" outlineLevel="0" collapsed="false">
      <c r="A196" s="84"/>
      <c r="B196" s="73"/>
      <c r="C196" s="73"/>
      <c r="D196" s="73"/>
      <c r="E196" s="73"/>
      <c r="F196" s="73"/>
      <c r="G196" s="73"/>
      <c r="H196" s="73"/>
      <c r="I196" s="73"/>
      <c r="J196" s="73"/>
      <c r="K196" s="74"/>
    </row>
    <row r="197" customFormat="false" ht="14.25" hidden="false" customHeight="false" outlineLevel="0" collapsed="false">
      <c r="A197" s="84"/>
      <c r="B197" s="73"/>
      <c r="C197" s="73"/>
      <c r="D197" s="73"/>
      <c r="E197" s="73"/>
      <c r="F197" s="73"/>
      <c r="G197" s="73"/>
      <c r="H197" s="73"/>
      <c r="I197" s="73"/>
      <c r="J197" s="73"/>
      <c r="K197" s="74"/>
    </row>
    <row r="198" customFormat="false" ht="14.25" hidden="false" customHeight="false" outlineLevel="0" collapsed="false">
      <c r="A198" s="84"/>
      <c r="B198" s="73"/>
      <c r="C198" s="73"/>
      <c r="D198" s="73"/>
      <c r="E198" s="73"/>
      <c r="F198" s="73"/>
      <c r="G198" s="73"/>
      <c r="H198" s="73"/>
      <c r="I198" s="73"/>
      <c r="J198" s="73"/>
      <c r="K198" s="74"/>
    </row>
    <row r="199" customFormat="false" ht="14.25" hidden="false" customHeight="false" outlineLevel="0" collapsed="false">
      <c r="A199" s="84"/>
      <c r="B199" s="73"/>
      <c r="C199" s="73"/>
      <c r="D199" s="73"/>
      <c r="E199" s="73"/>
      <c r="F199" s="73"/>
      <c r="G199" s="73"/>
      <c r="H199" s="73"/>
      <c r="I199" s="73"/>
      <c r="J199" s="73"/>
      <c r="K199" s="74"/>
    </row>
    <row r="200" customFormat="false" ht="14.25" hidden="false" customHeight="false" outlineLevel="0" collapsed="false">
      <c r="A200" s="84"/>
      <c r="B200" s="73"/>
      <c r="C200" s="73"/>
      <c r="D200" s="73"/>
      <c r="E200" s="73"/>
      <c r="F200" s="73"/>
      <c r="G200" s="73"/>
      <c r="H200" s="73"/>
      <c r="I200" s="73"/>
      <c r="J200" s="73"/>
      <c r="K200" s="74"/>
    </row>
    <row r="201" customFormat="false" ht="14.25" hidden="false" customHeight="false" outlineLevel="0" collapsed="false">
      <c r="A201" s="84"/>
      <c r="B201" s="73"/>
      <c r="C201" s="73"/>
      <c r="D201" s="73"/>
      <c r="E201" s="73"/>
      <c r="F201" s="73"/>
      <c r="G201" s="73"/>
      <c r="H201" s="73"/>
      <c r="I201" s="73"/>
      <c r="J201" s="73"/>
      <c r="K201" s="74"/>
    </row>
    <row r="202" customFormat="false" ht="14.25" hidden="false" customHeight="false" outlineLevel="0" collapsed="false">
      <c r="A202" s="84"/>
      <c r="B202" s="73"/>
      <c r="C202" s="73"/>
      <c r="D202" s="73"/>
      <c r="E202" s="73"/>
      <c r="F202" s="73"/>
      <c r="G202" s="73"/>
      <c r="H202" s="73"/>
      <c r="I202" s="73"/>
      <c r="J202" s="73"/>
      <c r="K202" s="74"/>
    </row>
    <row r="203" customFormat="false" ht="14.25" hidden="false" customHeight="false" outlineLevel="0" collapsed="false">
      <c r="A203" s="84"/>
      <c r="B203" s="73"/>
      <c r="C203" s="73"/>
      <c r="D203" s="73"/>
      <c r="E203" s="73"/>
      <c r="F203" s="73"/>
      <c r="G203" s="73"/>
      <c r="H203" s="73"/>
      <c r="I203" s="73"/>
      <c r="J203" s="73"/>
      <c r="K203" s="74"/>
    </row>
    <row r="204" customFormat="false" ht="14.25" hidden="false" customHeight="false" outlineLevel="0" collapsed="false">
      <c r="A204" s="84"/>
      <c r="B204" s="73"/>
      <c r="C204" s="73"/>
      <c r="D204" s="73"/>
      <c r="E204" s="73"/>
      <c r="F204" s="73"/>
      <c r="G204" s="73"/>
      <c r="H204" s="73"/>
      <c r="I204" s="73"/>
      <c r="J204" s="73"/>
      <c r="K204" s="74"/>
    </row>
    <row r="205" customFormat="false" ht="14.25" hidden="false" customHeight="false" outlineLevel="0" collapsed="false">
      <c r="A205" s="84"/>
      <c r="B205" s="73"/>
      <c r="C205" s="73"/>
      <c r="D205" s="73"/>
      <c r="E205" s="73"/>
      <c r="F205" s="73"/>
      <c r="G205" s="73"/>
      <c r="H205" s="73"/>
      <c r="I205" s="73"/>
      <c r="J205" s="73"/>
      <c r="K205" s="74"/>
    </row>
    <row r="206" customFormat="false" ht="14.25" hidden="false" customHeight="false" outlineLevel="0" collapsed="false">
      <c r="A206" s="84"/>
      <c r="B206" s="73"/>
      <c r="C206" s="73"/>
      <c r="D206" s="73"/>
      <c r="E206" s="73"/>
      <c r="F206" s="73"/>
      <c r="G206" s="73"/>
      <c r="H206" s="73"/>
      <c r="I206" s="73"/>
      <c r="J206" s="73"/>
      <c r="K206" s="74"/>
    </row>
    <row r="207" customFormat="false" ht="14.25" hidden="false" customHeight="false" outlineLevel="0" collapsed="false">
      <c r="A207" s="84"/>
      <c r="B207" s="73"/>
      <c r="C207" s="73"/>
      <c r="D207" s="73"/>
      <c r="E207" s="73"/>
      <c r="F207" s="73"/>
      <c r="G207" s="73"/>
      <c r="H207" s="73"/>
      <c r="I207" s="73"/>
      <c r="J207" s="73"/>
      <c r="K207" s="74"/>
    </row>
    <row r="208" customFormat="false" ht="14.25" hidden="false" customHeight="false" outlineLevel="0" collapsed="false">
      <c r="A208" s="86"/>
      <c r="B208" s="70"/>
      <c r="C208" s="70"/>
      <c r="D208" s="70"/>
      <c r="E208" s="70"/>
      <c r="F208" s="70"/>
      <c r="G208" s="70"/>
      <c r="H208" s="70"/>
      <c r="I208" s="70"/>
      <c r="J208" s="70"/>
      <c r="K208" s="71"/>
    </row>
    <row r="209" customFormat="false" ht="14.25" hidden="false" customHeight="false" outlineLevel="0" collapsed="false">
      <c r="A209" s="84"/>
      <c r="B209" s="73"/>
      <c r="C209" s="73"/>
      <c r="D209" s="73"/>
      <c r="E209" s="73"/>
      <c r="F209" s="73"/>
      <c r="G209" s="73"/>
      <c r="H209" s="73"/>
      <c r="I209" s="73"/>
      <c r="J209" s="73"/>
      <c r="K209" s="74"/>
    </row>
    <row r="210" customFormat="false" ht="14.25" hidden="false" customHeight="false" outlineLevel="0" collapsed="false">
      <c r="A210" s="84"/>
      <c r="B210" s="73"/>
      <c r="C210" s="73"/>
      <c r="D210" s="73"/>
      <c r="E210" s="73"/>
      <c r="F210" s="73"/>
      <c r="G210" s="73"/>
      <c r="H210" s="73"/>
      <c r="I210" s="73"/>
      <c r="J210" s="73"/>
      <c r="K210" s="74"/>
    </row>
    <row r="211" customFormat="false" ht="14.25" hidden="false" customHeight="false" outlineLevel="0" collapsed="false">
      <c r="A211" s="84"/>
      <c r="B211" s="73"/>
      <c r="C211" s="73"/>
      <c r="D211" s="73"/>
      <c r="E211" s="73"/>
      <c r="F211" s="73"/>
      <c r="G211" s="73"/>
      <c r="H211" s="73"/>
      <c r="I211" s="73"/>
      <c r="J211" s="73"/>
      <c r="K211" s="74"/>
    </row>
    <row r="212" customFormat="false" ht="14.25" hidden="false" customHeight="false" outlineLevel="0" collapsed="false">
      <c r="A212" s="85"/>
      <c r="B212" s="80"/>
      <c r="C212" s="80"/>
      <c r="D212" s="80"/>
      <c r="E212" s="80"/>
      <c r="F212" s="80"/>
      <c r="G212" s="80"/>
      <c r="H212" s="80"/>
      <c r="I212" s="80"/>
      <c r="J212" s="80"/>
      <c r="K212" s="81"/>
    </row>
    <row r="213" customFormat="false" ht="14.25" hidden="false" customHeight="false" outlineLevel="0" collapsed="false">
      <c r="A213" s="84"/>
      <c r="B213" s="73"/>
      <c r="C213" s="73"/>
      <c r="D213" s="73"/>
      <c r="E213" s="73"/>
      <c r="F213" s="73"/>
      <c r="G213" s="73"/>
      <c r="H213" s="73"/>
      <c r="I213" s="73"/>
      <c r="J213" s="73"/>
      <c r="K213" s="74"/>
    </row>
    <row r="214" customFormat="false" ht="14.25" hidden="false" customHeight="false" outlineLevel="0" collapsed="false">
      <c r="A214" s="84"/>
      <c r="B214" s="73"/>
      <c r="C214" s="73"/>
      <c r="D214" s="73"/>
      <c r="E214" s="73"/>
      <c r="F214" s="73"/>
      <c r="G214" s="73"/>
      <c r="H214" s="73"/>
      <c r="I214" s="73"/>
      <c r="J214" s="73"/>
      <c r="K214" s="74"/>
    </row>
    <row r="215" customFormat="false" ht="14.25" hidden="false" customHeight="false" outlineLevel="0" collapsed="false">
      <c r="A215" s="84"/>
      <c r="B215" s="73"/>
      <c r="C215" s="73"/>
      <c r="D215" s="73"/>
      <c r="E215" s="73"/>
      <c r="F215" s="73"/>
      <c r="G215" s="73"/>
      <c r="H215" s="73"/>
      <c r="I215" s="73"/>
      <c r="J215" s="73"/>
      <c r="K215" s="74"/>
    </row>
    <row r="216" customFormat="false" ht="14.25" hidden="false" customHeight="false" outlineLevel="0" collapsed="false">
      <c r="A216" s="84"/>
      <c r="B216" s="73"/>
      <c r="C216" s="73"/>
      <c r="D216" s="73"/>
      <c r="E216" s="73"/>
      <c r="F216" s="73"/>
      <c r="G216" s="73"/>
      <c r="H216" s="73"/>
      <c r="I216" s="73"/>
      <c r="J216" s="73"/>
      <c r="K216" s="74"/>
    </row>
    <row r="217" customFormat="false" ht="14.25" hidden="false" customHeight="false" outlineLevel="0" collapsed="false">
      <c r="A217" s="86"/>
      <c r="B217" s="70"/>
      <c r="C217" s="70"/>
      <c r="D217" s="70"/>
      <c r="E217" s="70"/>
      <c r="F217" s="70"/>
      <c r="G217" s="70"/>
      <c r="H217" s="70"/>
      <c r="I217" s="70"/>
      <c r="J217" s="70"/>
      <c r="K217" s="71"/>
    </row>
    <row r="218" customFormat="false" ht="14.25" hidden="false" customHeight="false" outlineLevel="0" collapsed="false">
      <c r="A218" s="84"/>
      <c r="B218" s="73"/>
      <c r="C218" s="73"/>
      <c r="D218" s="73"/>
      <c r="E218" s="73"/>
      <c r="F218" s="73"/>
      <c r="G218" s="73"/>
      <c r="H218" s="73"/>
      <c r="I218" s="73"/>
      <c r="J218" s="73"/>
      <c r="K218" s="74"/>
    </row>
    <row r="219" customFormat="false" ht="14.25" hidden="false" customHeight="false" outlineLevel="0" collapsed="false">
      <c r="A219" s="84"/>
      <c r="B219" s="73"/>
      <c r="C219" s="73"/>
      <c r="D219" s="73"/>
      <c r="E219" s="73"/>
      <c r="F219" s="73"/>
      <c r="G219" s="73"/>
      <c r="H219" s="73"/>
      <c r="I219" s="73"/>
      <c r="J219" s="73"/>
      <c r="K219" s="74"/>
    </row>
    <row r="220" customFormat="false" ht="14.25" hidden="false" customHeight="false" outlineLevel="0" collapsed="false">
      <c r="A220" s="84"/>
      <c r="B220" s="73"/>
      <c r="C220" s="73"/>
      <c r="D220" s="73"/>
      <c r="E220" s="73"/>
      <c r="F220" s="73"/>
      <c r="G220" s="73"/>
      <c r="H220" s="73"/>
      <c r="I220" s="73"/>
      <c r="J220" s="73"/>
      <c r="K220" s="74"/>
    </row>
    <row r="221" customFormat="false" ht="14.25" hidden="false" customHeight="false" outlineLevel="0" collapsed="false">
      <c r="A221" s="85"/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customFormat="false" ht="14.25" hidden="false" customHeight="false" outlineLevel="0" collapsed="false">
      <c r="A222" s="84"/>
      <c r="B222" s="73"/>
      <c r="C222" s="73"/>
      <c r="D222" s="73"/>
      <c r="E222" s="73"/>
      <c r="F222" s="73"/>
      <c r="G222" s="73"/>
      <c r="H222" s="73"/>
      <c r="I222" s="73"/>
      <c r="J222" s="73"/>
      <c r="K222" s="74"/>
    </row>
    <row r="223" customFormat="false" ht="14.25" hidden="false" customHeight="false" outlineLevel="0" collapsed="false">
      <c r="A223" s="84"/>
      <c r="B223" s="73"/>
      <c r="C223" s="73"/>
      <c r="D223" s="73"/>
      <c r="E223" s="73"/>
      <c r="F223" s="73"/>
      <c r="G223" s="73"/>
      <c r="H223" s="73"/>
      <c r="I223" s="73"/>
      <c r="J223" s="73"/>
      <c r="K223" s="74"/>
    </row>
    <row r="224" customFormat="false" ht="14.25" hidden="false" customHeight="false" outlineLevel="0" collapsed="false">
      <c r="A224" s="84"/>
      <c r="B224" s="73"/>
      <c r="C224" s="73"/>
      <c r="D224" s="73"/>
      <c r="E224" s="73"/>
      <c r="F224" s="73"/>
      <c r="G224" s="73"/>
      <c r="H224" s="73"/>
      <c r="I224" s="73"/>
      <c r="J224" s="73"/>
      <c r="K224" s="74"/>
    </row>
    <row r="225" customFormat="false" ht="14.25" hidden="false" customHeight="false" outlineLevel="0" collapsed="false">
      <c r="A225" s="84"/>
      <c r="B225" s="73"/>
      <c r="C225" s="73"/>
      <c r="D225" s="73"/>
      <c r="E225" s="73"/>
      <c r="F225" s="73"/>
      <c r="G225" s="73"/>
      <c r="H225" s="73"/>
      <c r="I225" s="73"/>
      <c r="J225" s="73"/>
      <c r="K225" s="74"/>
    </row>
    <row r="226" customFormat="false" ht="14.25" hidden="false" customHeight="false" outlineLevel="0" collapsed="false">
      <c r="A226" s="84"/>
      <c r="B226" s="73"/>
      <c r="C226" s="73"/>
      <c r="D226" s="73"/>
      <c r="E226" s="73"/>
      <c r="F226" s="73"/>
      <c r="G226" s="73"/>
      <c r="H226" s="73"/>
      <c r="I226" s="73"/>
      <c r="J226" s="73"/>
      <c r="K226" s="74"/>
    </row>
    <row r="227" customFormat="false" ht="14.25" hidden="false" customHeight="false" outlineLevel="0" collapsed="false">
      <c r="A227" s="84"/>
      <c r="B227" s="73"/>
      <c r="C227" s="73"/>
      <c r="D227" s="73"/>
      <c r="E227" s="73"/>
      <c r="F227" s="73"/>
      <c r="G227" s="73"/>
      <c r="H227" s="73"/>
      <c r="I227" s="73"/>
      <c r="J227" s="73"/>
      <c r="K227" s="74"/>
    </row>
    <row r="228" customFormat="false" ht="14.25" hidden="false" customHeight="false" outlineLevel="0" collapsed="false">
      <c r="A228" s="84"/>
      <c r="B228" s="73"/>
      <c r="C228" s="73"/>
      <c r="D228" s="73"/>
      <c r="E228" s="73"/>
      <c r="F228" s="73"/>
      <c r="G228" s="73"/>
      <c r="H228" s="73"/>
      <c r="I228" s="73"/>
      <c r="J228" s="73"/>
      <c r="K228" s="74"/>
    </row>
    <row r="229" customFormat="false" ht="14.25" hidden="false" customHeight="false" outlineLevel="0" collapsed="false">
      <c r="A229" s="84"/>
      <c r="B229" s="73"/>
      <c r="C229" s="73"/>
      <c r="D229" s="73"/>
      <c r="E229" s="73"/>
      <c r="F229" s="73"/>
      <c r="G229" s="73"/>
      <c r="H229" s="73"/>
      <c r="I229" s="73"/>
      <c r="J229" s="73"/>
      <c r="K229" s="74"/>
    </row>
    <row r="230" customFormat="false" ht="14.25" hidden="false" customHeight="false" outlineLevel="0" collapsed="false">
      <c r="A230" s="84"/>
      <c r="B230" s="73"/>
      <c r="C230" s="73"/>
      <c r="D230" s="73"/>
      <c r="E230" s="73"/>
      <c r="F230" s="73"/>
      <c r="G230" s="73"/>
      <c r="H230" s="73"/>
      <c r="I230" s="73"/>
      <c r="J230" s="73"/>
      <c r="K230" s="74"/>
    </row>
    <row r="231" customFormat="false" ht="14.25" hidden="false" customHeight="false" outlineLevel="0" collapsed="false">
      <c r="A231" s="84"/>
      <c r="B231" s="73"/>
      <c r="C231" s="73"/>
      <c r="D231" s="73"/>
      <c r="E231" s="73"/>
      <c r="F231" s="73"/>
      <c r="G231" s="73"/>
      <c r="H231" s="73"/>
      <c r="I231" s="73"/>
      <c r="J231" s="73"/>
      <c r="K231" s="74"/>
    </row>
    <row r="232" customFormat="false" ht="14.25" hidden="false" customHeight="false" outlineLevel="0" collapsed="false">
      <c r="A232" s="84"/>
      <c r="B232" s="73"/>
      <c r="C232" s="73"/>
      <c r="D232" s="73"/>
      <c r="E232" s="73"/>
      <c r="F232" s="73"/>
      <c r="G232" s="73"/>
      <c r="H232" s="73"/>
      <c r="I232" s="73"/>
      <c r="J232" s="73"/>
      <c r="K232" s="74"/>
    </row>
    <row r="233" customFormat="false" ht="14.25" hidden="false" customHeight="false" outlineLevel="0" collapsed="false">
      <c r="A233" s="84"/>
      <c r="B233" s="73"/>
      <c r="C233" s="73"/>
      <c r="D233" s="73"/>
      <c r="E233" s="73"/>
      <c r="F233" s="73"/>
      <c r="G233" s="73"/>
      <c r="H233" s="73"/>
      <c r="I233" s="73"/>
      <c r="J233" s="73"/>
      <c r="K233" s="74"/>
    </row>
    <row r="234" customFormat="false" ht="14.25" hidden="false" customHeight="false" outlineLevel="0" collapsed="false">
      <c r="A234" s="84"/>
      <c r="B234" s="73"/>
      <c r="C234" s="73"/>
      <c r="D234" s="73"/>
      <c r="E234" s="73"/>
      <c r="F234" s="73"/>
      <c r="G234" s="73"/>
      <c r="H234" s="73"/>
      <c r="I234" s="73"/>
      <c r="J234" s="73"/>
      <c r="K234" s="74"/>
    </row>
    <row r="235" customFormat="false" ht="14.25" hidden="false" customHeight="false" outlineLevel="0" collapsed="false">
      <c r="A235" s="84"/>
      <c r="B235" s="73"/>
      <c r="C235" s="73"/>
      <c r="D235" s="73"/>
      <c r="E235" s="73"/>
      <c r="F235" s="73"/>
      <c r="G235" s="73"/>
      <c r="H235" s="73"/>
      <c r="I235" s="73"/>
      <c r="J235" s="73"/>
      <c r="K235" s="74"/>
    </row>
    <row r="236" customFormat="false" ht="14.25" hidden="false" customHeight="false" outlineLevel="0" collapsed="false">
      <c r="A236" s="84"/>
      <c r="B236" s="73"/>
      <c r="C236" s="73"/>
      <c r="D236" s="73"/>
      <c r="E236" s="73"/>
      <c r="F236" s="73"/>
      <c r="G236" s="73"/>
      <c r="H236" s="73"/>
      <c r="I236" s="73"/>
      <c r="J236" s="73"/>
      <c r="K236" s="74"/>
    </row>
    <row r="237" customFormat="false" ht="14.25" hidden="false" customHeight="false" outlineLevel="0" collapsed="false">
      <c r="A237" s="84"/>
      <c r="B237" s="73"/>
      <c r="C237" s="73"/>
      <c r="D237" s="73"/>
      <c r="E237" s="73"/>
      <c r="F237" s="73"/>
      <c r="G237" s="73"/>
      <c r="H237" s="73"/>
      <c r="I237" s="73"/>
      <c r="J237" s="73"/>
      <c r="K237" s="74"/>
    </row>
    <row r="238" customFormat="false" ht="14.25" hidden="false" customHeight="false" outlineLevel="0" collapsed="false">
      <c r="A238" s="84"/>
      <c r="B238" s="73"/>
      <c r="C238" s="73"/>
      <c r="D238" s="73"/>
      <c r="E238" s="73"/>
      <c r="F238" s="73"/>
      <c r="G238" s="73"/>
      <c r="H238" s="73"/>
      <c r="I238" s="73"/>
      <c r="J238" s="73"/>
      <c r="K238" s="74"/>
    </row>
    <row r="239" customFormat="false" ht="14.25" hidden="false" customHeight="false" outlineLevel="0" collapsed="false">
      <c r="A239" s="84"/>
      <c r="B239" s="73"/>
      <c r="C239" s="73"/>
      <c r="D239" s="73"/>
      <c r="E239" s="73"/>
      <c r="F239" s="73"/>
      <c r="G239" s="73"/>
      <c r="H239" s="73"/>
      <c r="I239" s="73"/>
      <c r="J239" s="73"/>
      <c r="K239" s="74"/>
    </row>
    <row r="240" customFormat="false" ht="14.25" hidden="false" customHeight="false" outlineLevel="0" collapsed="false">
      <c r="A240" s="84"/>
      <c r="B240" s="73"/>
      <c r="C240" s="73"/>
      <c r="D240" s="73"/>
      <c r="E240" s="73"/>
      <c r="F240" s="73"/>
      <c r="G240" s="73"/>
      <c r="H240" s="73"/>
      <c r="I240" s="73"/>
      <c r="J240" s="73"/>
      <c r="K240" s="74"/>
    </row>
    <row r="241" customFormat="false" ht="14.25" hidden="false" customHeight="false" outlineLevel="0" collapsed="false">
      <c r="A241" s="84"/>
      <c r="B241" s="73"/>
      <c r="C241" s="73"/>
      <c r="D241" s="73"/>
      <c r="E241" s="73"/>
      <c r="F241" s="73"/>
      <c r="G241" s="73"/>
      <c r="H241" s="73"/>
      <c r="I241" s="73"/>
      <c r="J241" s="73"/>
      <c r="K241" s="74"/>
    </row>
    <row r="242" customFormat="false" ht="14.25" hidden="false" customHeight="false" outlineLevel="0" collapsed="false">
      <c r="A242" s="84"/>
      <c r="B242" s="73"/>
      <c r="C242" s="73"/>
      <c r="D242" s="73"/>
      <c r="E242" s="73"/>
      <c r="F242" s="73"/>
      <c r="G242" s="73"/>
      <c r="H242" s="73"/>
      <c r="I242" s="73"/>
      <c r="J242" s="73"/>
      <c r="K242" s="74"/>
    </row>
    <row r="243" customFormat="false" ht="14.25" hidden="false" customHeight="false" outlineLevel="0" collapsed="false">
      <c r="A243" s="84"/>
      <c r="B243" s="73"/>
      <c r="C243" s="73"/>
      <c r="D243" s="73"/>
      <c r="E243" s="73"/>
      <c r="F243" s="73"/>
      <c r="G243" s="73"/>
      <c r="H243" s="73"/>
      <c r="I243" s="73"/>
      <c r="J243" s="73"/>
      <c r="K243" s="74"/>
    </row>
    <row r="244" customFormat="false" ht="14.25" hidden="false" customHeight="false" outlineLevel="0" collapsed="false">
      <c r="A244" s="84"/>
      <c r="B244" s="73"/>
      <c r="C244" s="73"/>
      <c r="D244" s="73"/>
      <c r="E244" s="73"/>
      <c r="F244" s="73"/>
      <c r="G244" s="73"/>
      <c r="H244" s="73"/>
      <c r="I244" s="73"/>
      <c r="J244" s="73"/>
      <c r="K244" s="74"/>
    </row>
    <row r="245" customFormat="false" ht="14.25" hidden="false" customHeight="false" outlineLevel="0" collapsed="false">
      <c r="A245" s="86"/>
      <c r="B245" s="70"/>
      <c r="C245" s="70"/>
      <c r="D245" s="70"/>
      <c r="E245" s="70"/>
      <c r="F245" s="70"/>
      <c r="G245" s="70"/>
      <c r="H245" s="70"/>
      <c r="I245" s="70"/>
      <c r="J245" s="70"/>
      <c r="K245" s="71"/>
    </row>
    <row r="246" customFormat="false" ht="14.25" hidden="false" customHeight="false" outlineLevel="0" collapsed="false">
      <c r="A246" s="84"/>
      <c r="B246" s="73"/>
      <c r="C246" s="73"/>
      <c r="D246" s="73"/>
      <c r="E246" s="73"/>
      <c r="F246" s="73"/>
      <c r="G246" s="73"/>
      <c r="H246" s="73"/>
      <c r="I246" s="73"/>
      <c r="J246" s="73"/>
      <c r="K246" s="74"/>
    </row>
    <row r="247" customFormat="false" ht="14.25" hidden="false" customHeight="false" outlineLevel="0" collapsed="false">
      <c r="A247" s="84"/>
      <c r="B247" s="73"/>
      <c r="C247" s="73"/>
      <c r="D247" s="73"/>
      <c r="E247" s="73"/>
      <c r="F247" s="73"/>
      <c r="G247" s="73"/>
      <c r="H247" s="73"/>
      <c r="I247" s="73"/>
      <c r="J247" s="73"/>
      <c r="K247" s="74"/>
    </row>
    <row r="248" customFormat="false" ht="14.25" hidden="false" customHeight="false" outlineLevel="0" collapsed="false">
      <c r="A248" s="84"/>
      <c r="B248" s="73"/>
      <c r="C248" s="73"/>
      <c r="D248" s="73"/>
      <c r="E248" s="73"/>
      <c r="F248" s="73"/>
      <c r="G248" s="73"/>
      <c r="H248" s="73"/>
      <c r="I248" s="73"/>
      <c r="J248" s="73"/>
      <c r="K248" s="74"/>
    </row>
    <row r="249" customFormat="false" ht="14.25" hidden="false" customHeight="false" outlineLevel="0" collapsed="false">
      <c r="A249" s="85"/>
      <c r="B249" s="80"/>
      <c r="C249" s="80"/>
      <c r="D249" s="80"/>
      <c r="E249" s="80"/>
      <c r="F249" s="80"/>
      <c r="G249" s="80"/>
      <c r="H249" s="80"/>
      <c r="I249" s="80"/>
      <c r="J249" s="80"/>
      <c r="K249" s="81"/>
    </row>
    <row r="250" customFormat="false" ht="14.25" hidden="false" customHeight="false" outlineLevel="0" collapsed="false">
      <c r="A250" s="84"/>
      <c r="B250" s="73"/>
      <c r="C250" s="73"/>
      <c r="D250" s="73"/>
      <c r="E250" s="73"/>
      <c r="F250" s="73"/>
      <c r="G250" s="73"/>
      <c r="H250" s="73"/>
      <c r="I250" s="73"/>
      <c r="J250" s="73"/>
      <c r="K250" s="74"/>
    </row>
    <row r="251" customFormat="false" ht="14.25" hidden="false" customHeight="false" outlineLevel="0" collapsed="false">
      <c r="A251" s="84"/>
      <c r="B251" s="73"/>
      <c r="C251" s="73"/>
      <c r="D251" s="73"/>
      <c r="E251" s="73"/>
      <c r="F251" s="73"/>
      <c r="G251" s="73"/>
      <c r="H251" s="73"/>
      <c r="I251" s="73"/>
      <c r="J251" s="73"/>
      <c r="K251" s="74"/>
    </row>
    <row r="252" customFormat="false" ht="14.25" hidden="false" customHeight="false" outlineLevel="0" collapsed="false">
      <c r="A252" s="84"/>
      <c r="B252" s="73"/>
      <c r="C252" s="73"/>
      <c r="D252" s="73"/>
      <c r="E252" s="73"/>
      <c r="F252" s="73"/>
      <c r="G252" s="73"/>
      <c r="H252" s="73"/>
      <c r="I252" s="73"/>
      <c r="J252" s="73"/>
      <c r="K252" s="74"/>
    </row>
    <row r="253" customFormat="false" ht="14.25" hidden="false" customHeight="false" outlineLevel="0" collapsed="false">
      <c r="A253" s="84"/>
      <c r="B253" s="73"/>
      <c r="C253" s="73"/>
      <c r="D253" s="73"/>
      <c r="E253" s="73"/>
      <c r="F253" s="73"/>
      <c r="G253" s="73"/>
      <c r="H253" s="73"/>
      <c r="I253" s="73"/>
      <c r="J253" s="73"/>
      <c r="K253" s="74"/>
    </row>
    <row r="254" customFormat="false" ht="14.25" hidden="false" customHeight="false" outlineLevel="0" collapsed="false">
      <c r="A254" s="86"/>
      <c r="B254" s="70"/>
      <c r="C254" s="70"/>
      <c r="D254" s="70"/>
      <c r="E254" s="70"/>
      <c r="F254" s="70"/>
      <c r="G254" s="70"/>
      <c r="H254" s="70"/>
      <c r="I254" s="70"/>
      <c r="J254" s="70"/>
      <c r="K254" s="71"/>
    </row>
    <row r="255" customFormat="false" ht="14.25" hidden="false" customHeight="false" outlineLevel="0" collapsed="false">
      <c r="A255" s="84"/>
      <c r="B255" s="73"/>
      <c r="C255" s="73"/>
      <c r="D255" s="73"/>
      <c r="E255" s="73"/>
      <c r="F255" s="73"/>
      <c r="G255" s="73"/>
      <c r="H255" s="73"/>
      <c r="I255" s="73"/>
      <c r="J255" s="73"/>
      <c r="K255" s="74"/>
    </row>
    <row r="256" customFormat="false" ht="14.25" hidden="false" customHeight="false" outlineLevel="0" collapsed="false">
      <c r="A256" s="84"/>
      <c r="B256" s="73"/>
      <c r="C256" s="73"/>
      <c r="D256" s="73"/>
      <c r="E256" s="73"/>
      <c r="F256" s="73"/>
      <c r="G256" s="73"/>
      <c r="H256" s="73"/>
      <c r="I256" s="73"/>
      <c r="J256" s="73"/>
      <c r="K256" s="74"/>
    </row>
    <row r="257" customFormat="false" ht="14.25" hidden="false" customHeight="false" outlineLevel="0" collapsed="false">
      <c r="A257" s="84"/>
      <c r="B257" s="73"/>
      <c r="C257" s="73"/>
      <c r="D257" s="73"/>
      <c r="E257" s="73"/>
      <c r="F257" s="73"/>
      <c r="G257" s="73"/>
      <c r="H257" s="73"/>
      <c r="I257" s="73"/>
      <c r="J257" s="73"/>
      <c r="K257" s="74"/>
    </row>
    <row r="258" customFormat="false" ht="14.25" hidden="false" customHeight="false" outlineLevel="0" collapsed="false">
      <c r="A258" s="85"/>
      <c r="B258" s="80"/>
      <c r="C258" s="80"/>
      <c r="D258" s="80"/>
      <c r="E258" s="80"/>
      <c r="F258" s="80"/>
      <c r="G258" s="80"/>
      <c r="H258" s="80"/>
      <c r="I258" s="80"/>
      <c r="J258" s="80"/>
      <c r="K258" s="81"/>
    </row>
    <row r="259" customFormat="false" ht="14.25" hidden="false" customHeight="false" outlineLevel="0" collapsed="false">
      <c r="A259" s="84"/>
      <c r="B259" s="73"/>
      <c r="C259" s="73"/>
      <c r="D259" s="73"/>
      <c r="E259" s="73"/>
      <c r="F259" s="73"/>
      <c r="G259" s="73"/>
      <c r="H259" s="73"/>
      <c r="I259" s="73"/>
      <c r="J259" s="73"/>
      <c r="K259" s="74"/>
    </row>
    <row r="260" customFormat="false" ht="14.25" hidden="false" customHeight="false" outlineLevel="0" collapsed="false">
      <c r="A260" s="84"/>
      <c r="B260" s="73"/>
      <c r="C260" s="73"/>
      <c r="D260" s="73"/>
      <c r="E260" s="73"/>
      <c r="F260" s="73"/>
      <c r="G260" s="73"/>
      <c r="H260" s="73"/>
      <c r="I260" s="73"/>
      <c r="J260" s="73"/>
      <c r="K260" s="74"/>
    </row>
    <row r="261" customFormat="false" ht="14.25" hidden="false" customHeight="false" outlineLevel="0" collapsed="false">
      <c r="A261" s="84"/>
      <c r="B261" s="73"/>
      <c r="C261" s="73"/>
      <c r="D261" s="73"/>
      <c r="E261" s="73"/>
      <c r="F261" s="73"/>
      <c r="G261" s="73"/>
      <c r="H261" s="73"/>
      <c r="I261" s="73"/>
      <c r="J261" s="73"/>
      <c r="K261" s="74"/>
    </row>
    <row r="262" customFormat="false" ht="14.25" hidden="false" customHeight="false" outlineLevel="0" collapsed="false">
      <c r="A262" s="84"/>
      <c r="B262" s="73"/>
      <c r="C262" s="73"/>
      <c r="D262" s="73"/>
      <c r="E262" s="73"/>
      <c r="F262" s="73"/>
      <c r="G262" s="73"/>
      <c r="H262" s="73"/>
      <c r="I262" s="73"/>
      <c r="J262" s="73"/>
      <c r="K262" s="74"/>
    </row>
    <row r="263" customFormat="false" ht="14.25" hidden="false" customHeight="false" outlineLevel="0" collapsed="false">
      <c r="A263" s="84"/>
      <c r="B263" s="73"/>
      <c r="C263" s="73"/>
      <c r="D263" s="73"/>
      <c r="E263" s="73"/>
      <c r="F263" s="73"/>
      <c r="G263" s="73"/>
      <c r="H263" s="73"/>
      <c r="I263" s="73"/>
      <c r="J263" s="73"/>
      <c r="K263" s="74"/>
    </row>
    <row r="264" customFormat="false" ht="14.25" hidden="false" customHeight="false" outlineLevel="0" collapsed="false">
      <c r="A264" s="84"/>
      <c r="B264" s="73"/>
      <c r="C264" s="73"/>
      <c r="D264" s="73"/>
      <c r="E264" s="73"/>
      <c r="F264" s="73"/>
      <c r="G264" s="73"/>
      <c r="H264" s="73"/>
      <c r="I264" s="73"/>
      <c r="J264" s="73"/>
      <c r="K264" s="74"/>
    </row>
    <row r="265" customFormat="false" ht="14.25" hidden="false" customHeight="false" outlineLevel="0" collapsed="false">
      <c r="A265" s="84"/>
      <c r="B265" s="73"/>
      <c r="C265" s="73"/>
      <c r="D265" s="73"/>
      <c r="E265" s="73"/>
      <c r="F265" s="73"/>
      <c r="G265" s="73"/>
      <c r="H265" s="73"/>
      <c r="I265" s="73"/>
      <c r="J265" s="73"/>
      <c r="K265" s="74"/>
    </row>
    <row r="266" customFormat="false" ht="14.25" hidden="false" customHeight="false" outlineLevel="0" collapsed="false">
      <c r="A266" s="84"/>
      <c r="B266" s="73"/>
      <c r="C266" s="73"/>
      <c r="D266" s="73"/>
      <c r="E266" s="73"/>
      <c r="F266" s="73"/>
      <c r="G266" s="73"/>
      <c r="H266" s="73"/>
      <c r="I266" s="73"/>
      <c r="J266" s="73"/>
      <c r="K266" s="74"/>
    </row>
    <row r="267" customFormat="false" ht="14.25" hidden="false" customHeight="false" outlineLevel="0" collapsed="false">
      <c r="A267" s="84"/>
      <c r="B267" s="73"/>
      <c r="C267" s="73"/>
      <c r="D267" s="73"/>
      <c r="E267" s="73"/>
      <c r="F267" s="73"/>
      <c r="G267" s="73"/>
      <c r="H267" s="73"/>
      <c r="I267" s="73"/>
      <c r="J267" s="73"/>
      <c r="K267" s="74"/>
    </row>
    <row r="268" customFormat="false" ht="14.25" hidden="false" customHeight="false" outlineLevel="0" collapsed="false">
      <c r="A268" s="84"/>
      <c r="B268" s="73"/>
      <c r="C268" s="73"/>
      <c r="D268" s="73"/>
      <c r="E268" s="73"/>
      <c r="F268" s="73"/>
      <c r="G268" s="73"/>
      <c r="H268" s="73"/>
      <c r="I268" s="73"/>
      <c r="J268" s="73"/>
      <c r="K268" s="74"/>
    </row>
    <row r="269" customFormat="false" ht="14.25" hidden="false" customHeight="false" outlineLevel="0" collapsed="false">
      <c r="A269" s="84"/>
      <c r="B269" s="73"/>
      <c r="C269" s="73"/>
      <c r="D269" s="73"/>
      <c r="E269" s="73"/>
      <c r="F269" s="73"/>
      <c r="G269" s="73"/>
      <c r="H269" s="73"/>
      <c r="I269" s="73"/>
      <c r="J269" s="73"/>
      <c r="K269" s="74"/>
    </row>
    <row r="270" customFormat="false" ht="14.25" hidden="false" customHeight="false" outlineLevel="0" collapsed="false">
      <c r="A270" s="84"/>
      <c r="B270" s="73"/>
      <c r="C270" s="73"/>
      <c r="D270" s="73"/>
      <c r="E270" s="73"/>
      <c r="F270" s="73"/>
      <c r="G270" s="73"/>
      <c r="H270" s="73"/>
      <c r="I270" s="73"/>
      <c r="J270" s="73"/>
      <c r="K270" s="74"/>
    </row>
    <row r="271" customFormat="false" ht="14.25" hidden="false" customHeight="false" outlineLevel="0" collapsed="false">
      <c r="A271" s="84"/>
      <c r="B271" s="73"/>
      <c r="C271" s="73"/>
      <c r="D271" s="73"/>
      <c r="E271" s="73"/>
      <c r="F271" s="73"/>
      <c r="G271" s="73"/>
      <c r="H271" s="73"/>
      <c r="I271" s="73"/>
      <c r="J271" s="73"/>
      <c r="K271" s="74"/>
    </row>
    <row r="272" customFormat="false" ht="14.25" hidden="false" customHeight="false" outlineLevel="0" collapsed="false">
      <c r="A272" s="84"/>
      <c r="B272" s="73"/>
      <c r="C272" s="73"/>
      <c r="D272" s="73"/>
      <c r="E272" s="73"/>
      <c r="F272" s="73"/>
      <c r="G272" s="73"/>
      <c r="H272" s="73"/>
      <c r="I272" s="73"/>
      <c r="J272" s="73"/>
      <c r="K272" s="74"/>
    </row>
    <row r="273" customFormat="false" ht="14.25" hidden="false" customHeight="false" outlineLevel="0" collapsed="false">
      <c r="A273" s="84"/>
      <c r="B273" s="73"/>
      <c r="C273" s="73"/>
      <c r="D273" s="73"/>
      <c r="E273" s="73"/>
      <c r="F273" s="73"/>
      <c r="G273" s="73"/>
      <c r="H273" s="73"/>
      <c r="I273" s="73"/>
      <c r="J273" s="73"/>
      <c r="K273" s="74"/>
    </row>
    <row r="274" customFormat="false" ht="14.25" hidden="false" customHeight="false" outlineLevel="0" collapsed="false">
      <c r="A274" s="84"/>
      <c r="B274" s="73"/>
      <c r="C274" s="73"/>
      <c r="D274" s="73"/>
      <c r="E274" s="73"/>
      <c r="F274" s="73"/>
      <c r="G274" s="73"/>
      <c r="H274" s="73"/>
      <c r="I274" s="73"/>
      <c r="J274" s="73"/>
      <c r="K274" s="74"/>
    </row>
    <row r="275" customFormat="false" ht="14.25" hidden="false" customHeight="false" outlineLevel="0" collapsed="false">
      <c r="A275" s="84"/>
      <c r="B275" s="73"/>
      <c r="C275" s="73"/>
      <c r="D275" s="73"/>
      <c r="E275" s="73"/>
      <c r="F275" s="73"/>
      <c r="G275" s="73"/>
      <c r="H275" s="73"/>
      <c r="I275" s="73"/>
      <c r="J275" s="73"/>
      <c r="K275" s="74"/>
    </row>
    <row r="276" customFormat="false" ht="14.25" hidden="false" customHeight="false" outlineLevel="0" collapsed="false">
      <c r="A276" s="84"/>
      <c r="B276" s="73"/>
      <c r="C276" s="73"/>
      <c r="D276" s="73"/>
      <c r="E276" s="73"/>
      <c r="F276" s="73"/>
      <c r="G276" s="73"/>
      <c r="H276" s="73"/>
      <c r="I276" s="73"/>
      <c r="J276" s="73"/>
      <c r="K276" s="74"/>
    </row>
    <row r="277" customFormat="false" ht="14.25" hidden="false" customHeight="false" outlineLevel="0" collapsed="false">
      <c r="A277" s="84"/>
      <c r="B277" s="73"/>
      <c r="C277" s="73"/>
      <c r="D277" s="73"/>
      <c r="E277" s="73"/>
      <c r="F277" s="73"/>
      <c r="G277" s="73"/>
      <c r="H277" s="73"/>
      <c r="I277" s="73"/>
      <c r="J277" s="73"/>
      <c r="K277" s="74"/>
    </row>
    <row r="278" customFormat="false" ht="14.25" hidden="false" customHeight="false" outlineLevel="0" collapsed="false">
      <c r="A278" s="84"/>
      <c r="B278" s="73"/>
      <c r="C278" s="73"/>
      <c r="D278" s="73"/>
      <c r="E278" s="73"/>
      <c r="F278" s="73"/>
      <c r="G278" s="73"/>
      <c r="H278" s="73"/>
      <c r="I278" s="73"/>
      <c r="J278" s="73"/>
      <c r="K278" s="74"/>
    </row>
    <row r="279" customFormat="false" ht="14.25" hidden="false" customHeight="false" outlineLevel="0" collapsed="false">
      <c r="A279" s="84"/>
      <c r="B279" s="73"/>
      <c r="C279" s="73"/>
      <c r="D279" s="73"/>
      <c r="E279" s="73"/>
      <c r="F279" s="73"/>
      <c r="G279" s="73"/>
      <c r="H279" s="73"/>
      <c r="I279" s="73"/>
      <c r="J279" s="73"/>
      <c r="K279" s="74"/>
    </row>
    <row r="280" customFormat="false" ht="14.25" hidden="false" customHeight="false" outlineLevel="0" collapsed="false">
      <c r="A280" s="84"/>
      <c r="B280" s="73"/>
      <c r="C280" s="73"/>
      <c r="D280" s="73"/>
      <c r="E280" s="73"/>
      <c r="F280" s="73"/>
      <c r="G280" s="73"/>
      <c r="H280" s="73"/>
      <c r="I280" s="73"/>
      <c r="J280" s="73"/>
      <c r="K280" s="74"/>
    </row>
    <row r="281" customFormat="false" ht="14.25" hidden="false" customHeight="false" outlineLevel="0" collapsed="false">
      <c r="A281" s="84"/>
      <c r="B281" s="73"/>
      <c r="C281" s="73"/>
      <c r="D281" s="73"/>
      <c r="E281" s="73"/>
      <c r="F281" s="73"/>
      <c r="G281" s="73"/>
      <c r="H281" s="73"/>
      <c r="I281" s="73"/>
      <c r="J281" s="73"/>
      <c r="K281" s="74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B9" activeCellId="1" sqref="D4:D5 B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55" width="17.18"/>
    <col collapsed="false" customWidth="true" hidden="false" outlineLevel="0" max="4" min="4" style="55" width="10.45"/>
    <col collapsed="false" customWidth="true" hidden="false" outlineLevel="0" max="5" min="5" style="55" width="11.54"/>
    <col collapsed="false" customWidth="true" hidden="false" outlineLevel="0" max="6" min="6" style="55" width="12.73"/>
  </cols>
  <sheetData>
    <row r="2" customFormat="false" ht="14.25" hidden="false" customHeight="false" outlineLevel="0" collapsed="false">
      <c r="B2" s="72" t="s">
        <v>232</v>
      </c>
    </row>
    <row r="3" customFormat="false" ht="14.25" hidden="false" customHeight="false" outlineLevel="0" collapsed="false">
      <c r="B3" s="74"/>
      <c r="C3" s="92" t="s">
        <v>17</v>
      </c>
      <c r="D3" s="92"/>
      <c r="E3" s="92"/>
      <c r="F3" s="92" t="s">
        <v>40</v>
      </c>
      <c r="G3" s="92"/>
    </row>
    <row r="4" customFormat="false" ht="15" hidden="false" customHeight="false" outlineLevel="0" collapsed="false">
      <c r="B4" s="93"/>
      <c r="C4" s="94" t="s">
        <v>25</v>
      </c>
      <c r="D4" s="95" t="s">
        <v>28</v>
      </c>
      <c r="E4" s="96" t="s">
        <v>31</v>
      </c>
      <c r="F4" s="94" t="s">
        <v>233</v>
      </c>
      <c r="G4" s="96" t="s">
        <v>234</v>
      </c>
    </row>
    <row r="5" customFormat="false" ht="14.25" hidden="false" customHeight="false" outlineLevel="0" collapsed="false">
      <c r="B5" s="97" t="s">
        <v>235</v>
      </c>
      <c r="C5" s="98" t="e">
        <f aca="false">'חברים כלה'!#ref!</f>
        <v>#VALUE!</v>
      </c>
      <c r="D5" s="87" t="e">
        <f aca="false">'חברים כלה'!#ref!</f>
        <v>#VALUE!</v>
      </c>
      <c r="E5" s="99" t="e">
        <f aca="false">'חברים כלה'!#ref!</f>
        <v>#VALUE!</v>
      </c>
      <c r="F5" s="98" t="e">
        <f aca="false">'חברים כלה'!#ref!</f>
        <v>#VALUE!</v>
      </c>
      <c r="G5" s="99" t="e">
        <f aca="false">'חברים כלה'!#ref!</f>
        <v>#VALUE!</v>
      </c>
    </row>
    <row r="6" customFormat="false" ht="14.25" hidden="false" customHeight="false" outlineLevel="0" collapsed="false">
      <c r="B6" s="97" t="s">
        <v>236</v>
      </c>
      <c r="C6" s="77" t="e">
        <f aca="false">#REF!</f>
        <v>#REF!</v>
      </c>
      <c r="D6" s="73" t="e">
        <f aca="false">#REF!</f>
        <v>#REF!</v>
      </c>
      <c r="E6" s="78" t="e">
        <f aca="false">#REF!</f>
        <v>#REF!</v>
      </c>
      <c r="F6" s="77" t="e">
        <f aca="false">#REF!</f>
        <v>#REF!</v>
      </c>
      <c r="G6" s="78" t="e">
        <f aca="false">#REF!</f>
        <v>#REF!</v>
      </c>
    </row>
    <row r="7" customFormat="false" ht="14.25" hidden="false" customHeight="false" outlineLevel="0" collapsed="false">
      <c r="B7" s="97" t="s">
        <v>237</v>
      </c>
      <c r="C7" s="77" t="e">
        <f aca="false">#REF!</f>
        <v>#REF!</v>
      </c>
      <c r="D7" s="73" t="e">
        <f aca="false">#REF!</f>
        <v>#REF!</v>
      </c>
      <c r="E7" s="78" t="e">
        <f aca="false">#REF!</f>
        <v>#REF!</v>
      </c>
      <c r="F7" s="77" t="e">
        <f aca="false">#REF!</f>
        <v>#REF!</v>
      </c>
      <c r="G7" s="78" t="e">
        <f aca="false">#REF!</f>
        <v>#REF!</v>
      </c>
    </row>
    <row r="8" customFormat="false" ht="14.25" hidden="false" customHeight="false" outlineLevel="0" collapsed="false">
      <c r="B8" s="100" t="s">
        <v>238</v>
      </c>
      <c r="C8" s="101" t="e">
        <f aca="false">#REF!</f>
        <v>#REF!</v>
      </c>
      <c r="D8" s="80" t="e">
        <f aca="false">#REF!</f>
        <v>#REF!</v>
      </c>
      <c r="E8" s="79" t="e">
        <f aca="false">#REF!</f>
        <v>#REF!</v>
      </c>
      <c r="F8" s="101" t="e">
        <f aca="false">#REF!</f>
        <v>#REF!</v>
      </c>
      <c r="G8" s="79" t="e">
        <f aca="false">#REF!</f>
        <v>#REF!</v>
      </c>
    </row>
    <row r="9" customFormat="false" ht="15" hidden="false" customHeight="false" outlineLevel="0" collapsed="false">
      <c r="B9" s="102" t="s">
        <v>239</v>
      </c>
      <c r="C9" s="103" t="e">
        <f aca="false">SUM(C5:C8)</f>
        <v>#VALUE!</v>
      </c>
      <c r="D9" s="104" t="e">
        <f aca="false">SUM(D5:D8)</f>
        <v>#VALUE!</v>
      </c>
      <c r="E9" s="105" t="e">
        <f aca="false">SUM(E5:E8)</f>
        <v>#VALUE!</v>
      </c>
      <c r="F9" s="103" t="e">
        <f aca="false">SUM(F5:F8)</f>
        <v>#VALUE!</v>
      </c>
      <c r="G9" s="105" t="e">
        <f aca="false">SUM(G5:G8)</f>
        <v>#VALUE!</v>
      </c>
    </row>
  </sheetData>
  <mergeCells count="2">
    <mergeCell ref="C3:E3"/>
    <mergeCell ref="F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0"/>
  <sheetViews>
    <sheetView showFormulas="false" showGridLines="true" showRowColHeaders="true" showZeros="true" rightToLeft="true" tabSelected="false" showOutlineSymbols="true" defaultGridColor="true" view="normal" topLeftCell="B1" colorId="64" zoomScale="100" zoomScaleNormal="100" zoomScalePageLayoutView="100" workbookViewId="0">
      <selection pane="topLeft" activeCell="B12" activeCellId="1" sqref="D4:D5 B1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55" width="9.45"/>
    <col collapsed="false" customWidth="true" hidden="false" outlineLevel="0" max="4" min="4" style="55" width="17.82"/>
    <col collapsed="false" customWidth="true" hidden="false" outlineLevel="0" max="5" min="5" style="55" width="12"/>
    <col collapsed="false" customWidth="true" hidden="false" outlineLevel="0" max="6" min="6" style="55" width="11.82"/>
    <col collapsed="false" customWidth="true" hidden="false" outlineLevel="0" max="7" min="7" style="55" width="9.45"/>
    <col collapsed="false" customWidth="true" hidden="false" outlineLevel="0" max="8" min="8" style="55" width="13.27"/>
    <col collapsed="false" customWidth="true" hidden="false" outlineLevel="0" max="9" min="9" style="55" width="12.54"/>
    <col collapsed="false" customWidth="true" hidden="false" outlineLevel="0" max="12" min="12" style="55" width="17.45"/>
    <col collapsed="false" customWidth="true" hidden="false" outlineLevel="0" max="13" min="13" style="55" width="15"/>
    <col collapsed="false" customWidth="true" hidden="false" outlineLevel="0" max="15" min="15" style="55" width="19.45"/>
    <col collapsed="false" customWidth="true" hidden="false" outlineLevel="0" max="16" min="16" style="55" width="14"/>
  </cols>
  <sheetData>
    <row r="1" customFormat="false" ht="14.25" hidden="false" customHeight="false" outlineLevel="0" collapsed="false">
      <c r="F1" s="106" t="s">
        <v>240</v>
      </c>
      <c r="G1" s="106"/>
      <c r="H1" s="107"/>
      <c r="I1" s="107"/>
    </row>
    <row r="2" customFormat="false" ht="15" hidden="false" customHeight="false" outlineLevel="0" collapsed="false">
      <c r="D2" s="108"/>
      <c r="E2" s="109" t="s">
        <v>241</v>
      </c>
      <c r="F2" s="110" t="s">
        <v>242</v>
      </c>
      <c r="G2" s="106" t="s">
        <v>243</v>
      </c>
      <c r="H2" s="111" t="s">
        <v>244</v>
      </c>
      <c r="I2" s="112" t="s">
        <v>239</v>
      </c>
      <c r="L2" s="113" t="s">
        <v>245</v>
      </c>
      <c r="M2" s="113"/>
      <c r="O2" s="113" t="s">
        <v>246</v>
      </c>
      <c r="P2" s="113"/>
    </row>
    <row r="3" customFormat="false" ht="14.25" hidden="false" customHeight="false" outlineLevel="0" collapsed="false">
      <c r="D3" s="114" t="s">
        <v>247</v>
      </c>
      <c r="E3" s="115" t="n">
        <v>250</v>
      </c>
      <c r="F3" s="116" t="n">
        <v>10000</v>
      </c>
      <c r="G3" s="117"/>
      <c r="H3" s="118" t="n">
        <v>250</v>
      </c>
      <c r="I3" s="119" t="n">
        <f aca="false">E3*H3</f>
        <v>62500</v>
      </c>
      <c r="L3" s="114" t="s">
        <v>25</v>
      </c>
      <c r="M3" s="99" t="n">
        <v>270</v>
      </c>
      <c r="O3" s="114" t="s">
        <v>248</v>
      </c>
      <c r="P3" s="99" t="e">
        <f aca="false">סיכום!F9</f>
        <v>#VALUE!</v>
      </c>
    </row>
    <row r="4" customFormat="false" ht="15.65" hidden="false" customHeight="false" outlineLevel="0" collapsed="false">
      <c r="D4" s="114" t="s">
        <v>249</v>
      </c>
      <c r="E4" s="120" t="n">
        <v>7000</v>
      </c>
      <c r="F4" s="121" t="n">
        <v>1000</v>
      </c>
      <c r="G4" s="122"/>
      <c r="H4" s="123" t="n">
        <v>1</v>
      </c>
      <c r="I4" s="119" t="n">
        <v>7000</v>
      </c>
      <c r="L4" s="77" t="s">
        <v>28</v>
      </c>
      <c r="M4" s="78" t="n">
        <f aca="false">SUM('חברים כלה'!N6,'חברים חתן'!N6,'צד חתן'!P8,'צד כלה'!P6)</f>
        <v>0</v>
      </c>
      <c r="O4" s="124" t="s">
        <v>47</v>
      </c>
      <c r="P4" s="125" t="e">
        <f aca="false">סיכום!G9</f>
        <v>#VALUE!</v>
      </c>
    </row>
    <row r="5" customFormat="false" ht="14.25" hidden="false" customHeight="false" outlineLevel="0" collapsed="false">
      <c r="D5" s="77" t="s">
        <v>250</v>
      </c>
      <c r="E5" s="120" t="n">
        <v>9200</v>
      </c>
      <c r="F5" s="121"/>
      <c r="G5" s="122"/>
      <c r="H5" s="123" t="n">
        <v>1</v>
      </c>
      <c r="I5" s="119" t="n">
        <f aca="false">E5</f>
        <v>9200</v>
      </c>
      <c r="L5" s="82" t="s">
        <v>31</v>
      </c>
      <c r="M5" s="83" t="n">
        <f aca="false">SUM('חברים כלה'!N4,'חברים חתן'!N4,'צד חתן'!P5,'צד כלה'!P4)</f>
        <v>317</v>
      </c>
      <c r="O5" s="114" t="s">
        <v>251</v>
      </c>
      <c r="P5" s="126" t="e">
        <f aca="false">P4/P3</f>
        <v>#VALUE!</v>
      </c>
    </row>
    <row r="6" customFormat="false" ht="15" hidden="false" customHeight="false" outlineLevel="0" collapsed="false">
      <c r="D6" s="77" t="s">
        <v>252</v>
      </c>
      <c r="E6" s="120" t="n">
        <v>7500</v>
      </c>
      <c r="F6" s="121"/>
      <c r="G6" s="122"/>
      <c r="H6" s="123" t="n">
        <v>1</v>
      </c>
      <c r="I6" s="119" t="n">
        <f aca="false">H6*E6</f>
        <v>7500</v>
      </c>
      <c r="L6" s="113" t="s">
        <v>253</v>
      </c>
      <c r="M6" s="113"/>
      <c r="O6" s="94" t="s">
        <v>254</v>
      </c>
      <c r="P6" s="127" t="e">
        <f aca="false">P4-I29</f>
        <v>#VALUE!</v>
      </c>
    </row>
    <row r="7" customFormat="false" ht="14.25" hidden="false" customHeight="false" outlineLevel="0" collapsed="false">
      <c r="D7" s="114" t="s">
        <v>255</v>
      </c>
      <c r="E7" s="120"/>
      <c r="F7" s="121"/>
      <c r="G7" s="122"/>
      <c r="H7" s="123" t="n">
        <v>1</v>
      </c>
      <c r="I7" s="119" t="n">
        <v>5000</v>
      </c>
      <c r="L7" s="114" t="s">
        <v>251</v>
      </c>
      <c r="M7" s="128" t="n">
        <v>300</v>
      </c>
    </row>
    <row r="8" customFormat="false" ht="44" hidden="false" customHeight="false" outlineLevel="0" collapsed="false">
      <c r="B8" s="129"/>
      <c r="D8" s="77" t="s">
        <v>256</v>
      </c>
      <c r="E8" s="120" t="n">
        <v>300</v>
      </c>
      <c r="F8" s="121"/>
      <c r="G8" s="122"/>
      <c r="H8" s="123" t="n">
        <v>1</v>
      </c>
      <c r="I8" s="119" t="n">
        <v>300</v>
      </c>
      <c r="L8" s="124" t="s">
        <v>257</v>
      </c>
      <c r="M8" s="125" t="n">
        <f aca="false">M7*M3</f>
        <v>81000</v>
      </c>
    </row>
    <row r="9" customFormat="false" ht="15" hidden="false" customHeight="false" outlineLevel="0" collapsed="false">
      <c r="B9" s="129"/>
      <c r="D9" s="77" t="s">
        <v>258</v>
      </c>
      <c r="E9" s="120" t="n">
        <v>0</v>
      </c>
      <c r="F9" s="121"/>
      <c r="G9" s="122"/>
      <c r="H9" s="123" t="n">
        <v>1</v>
      </c>
      <c r="I9" s="119" t="n">
        <f aca="false">H9*E9</f>
        <v>0</v>
      </c>
      <c r="L9" s="82" t="s">
        <v>259</v>
      </c>
      <c r="M9" s="130" t="n">
        <f aca="false">M8-I29</f>
        <v>-30900</v>
      </c>
    </row>
    <row r="10" customFormat="false" ht="14.25" hidden="false" customHeight="false" outlineLevel="0" collapsed="false">
      <c r="D10" s="77" t="s">
        <v>260</v>
      </c>
      <c r="E10" s="120"/>
      <c r="F10" s="121"/>
      <c r="G10" s="122"/>
      <c r="H10" s="123" t="n">
        <v>1</v>
      </c>
      <c r="I10" s="119" t="n">
        <f aca="false">H10*E10</f>
        <v>0</v>
      </c>
      <c r="M10" s="131"/>
    </row>
    <row r="11" customFormat="false" ht="15.65" hidden="false" customHeight="false" outlineLevel="0" collapsed="false">
      <c r="D11" s="77" t="s">
        <v>261</v>
      </c>
      <c r="E11" s="120"/>
      <c r="F11" s="121"/>
      <c r="G11" s="122"/>
      <c r="H11" s="123" t="n">
        <v>1</v>
      </c>
      <c r="I11" s="119" t="n">
        <v>2500</v>
      </c>
    </row>
    <row r="12" customFormat="false" ht="14.25" hidden="false" customHeight="false" outlineLevel="0" collapsed="false">
      <c r="D12" s="77" t="s">
        <v>262</v>
      </c>
      <c r="E12" s="120" t="n">
        <v>3500</v>
      </c>
      <c r="F12" s="121"/>
      <c r="G12" s="122"/>
      <c r="H12" s="123" t="n">
        <v>1</v>
      </c>
      <c r="I12" s="119" t="n">
        <f aca="false">H12*E12</f>
        <v>3500</v>
      </c>
      <c r="P12" s="129"/>
    </row>
    <row r="13" customFormat="false" ht="14.25" hidden="false" customHeight="false" outlineLevel="0" collapsed="false">
      <c r="D13" s="77" t="s">
        <v>263</v>
      </c>
      <c r="E13" s="120"/>
      <c r="F13" s="121"/>
      <c r="G13" s="122"/>
      <c r="H13" s="123" t="n">
        <v>1</v>
      </c>
      <c r="I13" s="119" t="n">
        <v>1400</v>
      </c>
    </row>
    <row r="14" customFormat="false" ht="14.25" hidden="false" customHeight="false" outlineLevel="0" collapsed="false">
      <c r="D14" s="77" t="s">
        <v>264</v>
      </c>
      <c r="E14" s="132"/>
      <c r="F14" s="121"/>
      <c r="G14" s="122"/>
      <c r="H14" s="123" t="n">
        <f aca="false">M5</f>
        <v>317</v>
      </c>
      <c r="I14" s="133" t="n">
        <f aca="false">H14*E14</f>
        <v>0</v>
      </c>
    </row>
    <row r="15" customFormat="false" ht="14.25" hidden="false" customHeight="false" outlineLevel="0" collapsed="false">
      <c r="D15" s="77" t="s">
        <v>265</v>
      </c>
      <c r="E15" s="132"/>
      <c r="F15" s="121"/>
      <c r="G15" s="122"/>
      <c r="H15" s="123" t="n">
        <v>1</v>
      </c>
      <c r="I15" s="119" t="n">
        <v>500</v>
      </c>
    </row>
    <row r="16" customFormat="false" ht="14.25" hidden="false" customHeight="false" outlineLevel="0" collapsed="false">
      <c r="D16" s="77" t="s">
        <v>266</v>
      </c>
      <c r="E16" s="132" t="n">
        <v>6000</v>
      </c>
      <c r="F16" s="115" t="n">
        <v>3000</v>
      </c>
      <c r="G16" s="122"/>
      <c r="H16" s="123" t="n">
        <v>1</v>
      </c>
      <c r="I16" s="119" t="n">
        <f aca="false">H16*E16</f>
        <v>6000</v>
      </c>
    </row>
    <row r="17" customFormat="false" ht="14.25" hidden="false" customHeight="false" outlineLevel="0" collapsed="false">
      <c r="D17" s="77"/>
      <c r="E17" s="120"/>
      <c r="F17" s="121"/>
      <c r="G17" s="122"/>
      <c r="H17" s="123"/>
      <c r="I17" s="119"/>
      <c r="L17" s="131"/>
      <c r="M17" s="131"/>
    </row>
    <row r="18" customFormat="false" ht="14.25" hidden="false" customHeight="false" outlineLevel="0" collapsed="false">
      <c r="D18" s="134" t="s">
        <v>267</v>
      </c>
      <c r="E18" s="120"/>
      <c r="F18" s="121"/>
      <c r="G18" s="122"/>
      <c r="H18" s="123"/>
      <c r="I18" s="119"/>
    </row>
    <row r="19" customFormat="false" ht="14.25" hidden="false" customHeight="false" outlineLevel="0" collapsed="false">
      <c r="D19" s="77" t="s">
        <v>268</v>
      </c>
      <c r="E19" s="120" t="n">
        <v>2000</v>
      </c>
      <c r="F19" s="121"/>
      <c r="G19" s="122"/>
      <c r="H19" s="123" t="n">
        <v>1</v>
      </c>
      <c r="I19" s="119" t="n">
        <v>2000</v>
      </c>
    </row>
    <row r="20" customFormat="false" ht="14.25" hidden="false" customHeight="false" outlineLevel="0" collapsed="false">
      <c r="D20" s="77" t="s">
        <v>269</v>
      </c>
      <c r="E20" s="120"/>
      <c r="F20" s="121"/>
      <c r="G20" s="122"/>
      <c r="H20" s="123"/>
      <c r="I20" s="119"/>
    </row>
    <row r="21" customFormat="false" ht="14.25" hidden="false" customHeight="false" outlineLevel="0" collapsed="false">
      <c r="D21" s="77" t="s">
        <v>270</v>
      </c>
      <c r="E21" s="120"/>
      <c r="F21" s="121"/>
      <c r="G21" s="122"/>
      <c r="H21" s="123"/>
      <c r="I21" s="119"/>
    </row>
    <row r="22" customFormat="false" ht="14.25" hidden="false" customHeight="false" outlineLevel="0" collapsed="false">
      <c r="D22" s="77" t="s">
        <v>271</v>
      </c>
      <c r="E22" s="120"/>
      <c r="F22" s="121"/>
      <c r="G22" s="122"/>
      <c r="H22" s="123"/>
      <c r="I22" s="119"/>
    </row>
    <row r="23" customFormat="false" ht="14.25" hidden="false" customHeight="false" outlineLevel="0" collapsed="false">
      <c r="D23" s="77" t="s">
        <v>272</v>
      </c>
      <c r="E23" s="120" t="n">
        <v>3500</v>
      </c>
      <c r="F23" s="121" t="n">
        <v>200</v>
      </c>
      <c r="G23" s="122"/>
      <c r="H23" s="123" t="n">
        <v>1</v>
      </c>
      <c r="I23" s="119" t="n">
        <f aca="false">E23</f>
        <v>3500</v>
      </c>
    </row>
    <row r="24" customFormat="false" ht="14.25" hidden="false" customHeight="false" outlineLevel="0" collapsed="false">
      <c r="D24" s="77" t="s">
        <v>273</v>
      </c>
      <c r="E24" s="120"/>
      <c r="F24" s="121"/>
      <c r="G24" s="122"/>
      <c r="H24" s="123"/>
      <c r="I24" s="119"/>
    </row>
    <row r="25" customFormat="false" ht="14.25" hidden="false" customHeight="false" outlineLevel="0" collapsed="false">
      <c r="D25" s="134" t="s">
        <v>274</v>
      </c>
      <c r="E25" s="120"/>
      <c r="F25" s="121"/>
      <c r="G25" s="122"/>
      <c r="H25" s="123"/>
      <c r="I25" s="119"/>
    </row>
    <row r="26" customFormat="false" ht="14.25" hidden="false" customHeight="false" outlineLevel="0" collapsed="false">
      <c r="D26" s="77" t="s">
        <v>275</v>
      </c>
      <c r="E26" s="120" t="n">
        <v>800</v>
      </c>
      <c r="F26" s="121"/>
      <c r="G26" s="122"/>
      <c r="H26" s="123" t="n">
        <v>1</v>
      </c>
      <c r="I26" s="119" t="n">
        <f aca="false">E26*H26</f>
        <v>800</v>
      </c>
    </row>
    <row r="27" customFormat="false" ht="14.25" hidden="false" customHeight="false" outlineLevel="0" collapsed="false">
      <c r="D27" s="77" t="s">
        <v>271</v>
      </c>
      <c r="E27" s="120" t="n">
        <v>200</v>
      </c>
      <c r="F27" s="121"/>
      <c r="G27" s="122"/>
      <c r="H27" s="135" t="n">
        <v>1</v>
      </c>
      <c r="I27" s="119" t="n">
        <v>200</v>
      </c>
    </row>
    <row r="28" customFormat="false" ht="14.25" hidden="false" customHeight="false" outlineLevel="0" collapsed="false">
      <c r="D28" s="77"/>
      <c r="E28" s="120"/>
      <c r="F28" s="120"/>
      <c r="G28" s="136"/>
      <c r="H28" s="135"/>
      <c r="I28" s="137"/>
    </row>
    <row r="29" customFormat="false" ht="15" hidden="false" customHeight="false" outlineLevel="0" collapsed="false">
      <c r="D29" s="77"/>
      <c r="E29" s="138" t="s">
        <v>276</v>
      </c>
      <c r="F29" s="139" t="n">
        <f aca="false">F3+F4+F5+F6+F7+F8+F9+F10+F11+F12+F13+F15+F16+F18+F19+F20+F21+F22+F23+F24+F25+F26+F27+F28</f>
        <v>14200</v>
      </c>
      <c r="G29" s="140" t="s">
        <v>277</v>
      </c>
      <c r="H29" s="141"/>
      <c r="I29" s="142" t="n">
        <f aca="false">SUM(I3:I28)</f>
        <v>111900</v>
      </c>
    </row>
    <row r="30" customFormat="false" ht="14.25" hidden="false" customHeight="false" outlineLevel="0" collapsed="false">
      <c r="D30" s="82"/>
      <c r="E30" s="143"/>
      <c r="F30" s="144"/>
      <c r="G30" s="145" t="s">
        <v>278</v>
      </c>
      <c r="H30" s="146"/>
      <c r="I30" s="147" t="n">
        <f aca="false">I29/M3</f>
        <v>414.444444444444</v>
      </c>
    </row>
  </sheetData>
  <mergeCells count="5">
    <mergeCell ref="F1:G1"/>
    <mergeCell ref="H1:I1"/>
    <mergeCell ref="L2:M2"/>
    <mergeCell ref="O2:P2"/>
    <mergeCell ref="L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2014-01-21T22:26:49Z</dcterms:created>
  <dc:creator>Moshe</dc:creator>
  <dc:description/>
  <dc:language>en-IL</dc:language>
  <cp:lastModifiedBy/>
  <cp:lastPrinted>2014-09-21T21:10:15Z</cp:lastPrinted>
  <dcterms:modified xsi:type="dcterms:W3CDTF">2025-12-14T14:39:01Z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